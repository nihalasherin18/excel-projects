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1078E0-7C47-4EED-BFEF-3857B5BDE101}" xr6:coauthVersionLast="47" xr6:coauthVersionMax="47" xr10:uidLastSave="{00000000-0000-0000-0000-000000000000}"/>
  <bookViews>
    <workbookView xWindow="-120" yWindow="-120" windowWidth="20730" windowHeight="11040" activeTab="1" xr2:uid="{6E8D716A-CC3D-47EE-B9C5-99AF7377E2B0}"/>
  </bookViews>
  <sheets>
    <sheet name="Sheet1" sheetId="3" r:id="rId1"/>
    <sheet name="Sheet2" sheetId="4" r:id="rId2"/>
    <sheet name="CONTENTS" sheetId="2" r:id="rId3"/>
    <sheet name="DASHBOARD" sheetId="1" r:id="rId4"/>
  </sheet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</calcChain>
</file>

<file path=xl/sharedStrings.xml><?xml version="1.0" encoding="utf-8"?>
<sst xmlns="http://schemas.openxmlformats.org/spreadsheetml/2006/main" count="451" uniqueCount="122">
  <si>
    <t>Ride_ID</t>
  </si>
  <si>
    <t>Date</t>
  </si>
  <si>
    <t>City</t>
  </si>
  <si>
    <t>Vehicle_Type</t>
  </si>
  <si>
    <t>Trip_Type</t>
  </si>
  <si>
    <t>Customer_Type</t>
  </si>
  <si>
    <t>Payment_Mode</t>
  </si>
  <si>
    <t>Distance_KM</t>
  </si>
  <si>
    <t>Fare_INR</t>
  </si>
  <si>
    <t>Discount_INR</t>
  </si>
  <si>
    <t>Driver_Rating</t>
  </si>
  <si>
    <t>Customer_Rating</t>
  </si>
  <si>
    <t>Trip_Duration_Min</t>
  </si>
  <si>
    <t>Status</t>
  </si>
  <si>
    <t>UBR001</t>
  </si>
  <si>
    <t>Bengaluru</t>
  </si>
  <si>
    <t>UberGo</t>
  </si>
  <si>
    <t>Regular</t>
  </si>
  <si>
    <t>UPI</t>
  </si>
  <si>
    <t>Completed</t>
  </si>
  <si>
    <t>UBR002</t>
  </si>
  <si>
    <t>Mumbai</t>
  </si>
  <si>
    <t>New</t>
  </si>
  <si>
    <t>Card</t>
  </si>
  <si>
    <t>UBR003</t>
  </si>
  <si>
    <t>Delhi</t>
  </si>
  <si>
    <t>UberXL</t>
  </si>
  <si>
    <t>Airport</t>
  </si>
  <si>
    <t>UBR004</t>
  </si>
  <si>
    <t>Hyderabad</t>
  </si>
  <si>
    <t>Cash</t>
  </si>
  <si>
    <t>UBR005</t>
  </si>
  <si>
    <t>Chennai</t>
  </si>
  <si>
    <t>Premier</t>
  </si>
  <si>
    <t>Premium</t>
  </si>
  <si>
    <t>UBR006</t>
  </si>
  <si>
    <t>Pune</t>
  </si>
  <si>
    <t>UBR007</t>
  </si>
  <si>
    <t>Auto</t>
  </si>
  <si>
    <t>UBR008</t>
  </si>
  <si>
    <t>UBR009</t>
  </si>
  <si>
    <t>UBR010</t>
  </si>
  <si>
    <t>Kochi</t>
  </si>
  <si>
    <t>UBR011</t>
  </si>
  <si>
    <t>UBR012</t>
  </si>
  <si>
    <t>UBR013</t>
  </si>
  <si>
    <t>UBR014</t>
  </si>
  <si>
    <t>UBR015</t>
  </si>
  <si>
    <t>UBR016</t>
  </si>
  <si>
    <t>UBR017</t>
  </si>
  <si>
    <t>Cancelled</t>
  </si>
  <si>
    <t>UBR018</t>
  </si>
  <si>
    <t>UBR019</t>
  </si>
  <si>
    <t>UBR020</t>
  </si>
  <si>
    <t>UBR021</t>
  </si>
  <si>
    <t>UBR022</t>
  </si>
  <si>
    <t>UBR023</t>
  </si>
  <si>
    <t>UBR024</t>
  </si>
  <si>
    <t>UBR025</t>
  </si>
  <si>
    <t>UBR026</t>
  </si>
  <si>
    <t>UBR027</t>
  </si>
  <si>
    <t>UBR028</t>
  </si>
  <si>
    <t>UBR029</t>
  </si>
  <si>
    <t>UBR030</t>
  </si>
  <si>
    <t>UBR031</t>
  </si>
  <si>
    <t>UBR032</t>
  </si>
  <si>
    <t>UBR033</t>
  </si>
  <si>
    <t>UBR034</t>
  </si>
  <si>
    <t>UBR035</t>
  </si>
  <si>
    <t>UBR036</t>
  </si>
  <si>
    <t>UBR037</t>
  </si>
  <si>
    <t>UBR038</t>
  </si>
  <si>
    <t>UBR039</t>
  </si>
  <si>
    <t>UBR040</t>
  </si>
  <si>
    <t>UBR041</t>
  </si>
  <si>
    <t>UBR042</t>
  </si>
  <si>
    <t>UBR043</t>
  </si>
  <si>
    <t>UBR044</t>
  </si>
  <si>
    <t>UBR045</t>
  </si>
  <si>
    <t>UBR046</t>
  </si>
  <si>
    <t>UBR047</t>
  </si>
  <si>
    <t>UBR048</t>
  </si>
  <si>
    <t>UBR049</t>
  </si>
  <si>
    <t>UBR050</t>
  </si>
  <si>
    <t>KPI</t>
  </si>
  <si>
    <t>Calculation</t>
  </si>
  <si>
    <t>Total Rides</t>
  </si>
  <si>
    <t>Count of Ride_ID</t>
  </si>
  <si>
    <t>Completed Rides</t>
  </si>
  <si>
    <t>Count where Status = Completed</t>
  </si>
  <si>
    <t>Total Revenue</t>
  </si>
  <si>
    <t>Sum of Fare_INR</t>
  </si>
  <si>
    <t>Average Fare</t>
  </si>
  <si>
    <t>Average of Fare_INR</t>
  </si>
  <si>
    <t>Average Customer Rating</t>
  </si>
  <si>
    <t>Average of Customer_Rating</t>
  </si>
  <si>
    <t>Chart</t>
  </si>
  <si>
    <t>Fields</t>
  </si>
  <si>
    <t>Revenue by City</t>
  </si>
  <si>
    <t>City + Fare</t>
  </si>
  <si>
    <t>Rides by Vehicle Type</t>
  </si>
  <si>
    <t>Vehicle_Type + Count of Ride_ID</t>
  </si>
  <si>
    <t>Daily Revenue Trend</t>
  </si>
  <si>
    <t>Date + Fare</t>
  </si>
  <si>
    <t>Payment Mode Distribution</t>
  </si>
  <si>
    <t>Payment_Mode + Count of Ride_ID</t>
  </si>
  <si>
    <t>Revenue by Trip Type</t>
  </si>
  <si>
    <t>Trip_Type + Fare</t>
  </si>
  <si>
    <t>Customer Type Distribution</t>
  </si>
  <si>
    <t>Customer_Type + Count of Ride_ID</t>
  </si>
  <si>
    <t>Average Rating by Vehicle</t>
  </si>
  <si>
    <t>Vehicle_Type + Customer_Rating</t>
  </si>
  <si>
    <t>Completed vs Cancelled</t>
  </si>
  <si>
    <t>Status + Count of Ride_ID</t>
  </si>
  <si>
    <t>Recommended Slicers</t>
  </si>
  <si>
    <t>Vehicle Type</t>
  </si>
  <si>
    <t>Trip Type</t>
  </si>
  <si>
    <t>Customer Type</t>
  </si>
  <si>
    <t>Payment Mode</t>
  </si>
  <si>
    <t>Row Labels</t>
  </si>
  <si>
    <t>Grand Total</t>
  </si>
  <si>
    <t>Sum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</si>
</sst>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2" xfId="0" applyFont="1" applyFill="1" applyBorder="1"/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 (final).xlsx]Sheet1!PivotTable1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43DD-B261-2A085FAF6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537968"/>
        <c:axId val="6363280"/>
      </c:barChart>
      <c:catAx>
        <c:axId val="2205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80"/>
        <c:crosses val="autoZero"/>
        <c:auto val="1"/>
        <c:lblAlgn val="ctr"/>
        <c:lblOffset val="100"/>
        <c:noMultiLvlLbl val="0"/>
      </c:catAx>
      <c:valAx>
        <c:axId val="63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 (final).xlsx]Sheet1!PivotTable1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lgerian" panose="04020705040A02060702" pitchFamily="82" charset="0"/>
              </a:rPr>
              <a:t>Revenue</a:t>
            </a:r>
            <a:r>
              <a:rPr lang="en-US" baseline="0">
                <a:latin typeface="Algerian" panose="04020705040A02060702" pitchFamily="82" charset="0"/>
              </a:rPr>
              <a:t> by City</a:t>
            </a:r>
            <a:endParaRPr lang="en-US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3-44FC-B68C-BF3C4B017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07536"/>
        <c:axId val="6358000"/>
      </c:barChart>
      <c:catAx>
        <c:axId val="996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000"/>
        <c:crosses val="autoZero"/>
        <c:auto val="1"/>
        <c:lblAlgn val="ctr"/>
        <c:lblOffset val="100"/>
        <c:noMultiLvlLbl val="0"/>
      </c:catAx>
      <c:valAx>
        <c:axId val="63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 (final).xlsx]Sheet1!PivotTable1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6-4BF0-AFF8-378F784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537968"/>
        <c:axId val="6363280"/>
      </c:barChart>
      <c:catAx>
        <c:axId val="2205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80"/>
        <c:crosses val="autoZero"/>
        <c:auto val="1"/>
        <c:lblAlgn val="ctr"/>
        <c:lblOffset val="100"/>
        <c:noMultiLvlLbl val="0"/>
      </c:catAx>
      <c:valAx>
        <c:axId val="63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</xdr:row>
      <xdr:rowOff>176212</xdr:rowOff>
    </xdr:from>
    <xdr:to>
      <xdr:col>7</xdr:col>
      <xdr:colOff>685800</xdr:colOff>
      <xdr:row>17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EB7BF9-0034-8A16-FFFC-2D7DAD7B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133350</xdr:rowOff>
    </xdr:from>
    <xdr:to>
      <xdr:col>6</xdr:col>
      <xdr:colOff>390525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4F818-2AA8-41EB-92FA-9815159ED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29</xdr:col>
      <xdr:colOff>571500</xdr:colOff>
      <xdr:row>74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757700-056F-D589-A85C-9CC14CD539D0}"/>
            </a:ext>
          </a:extLst>
        </xdr:cNvPr>
        <xdr:cNvSpPr/>
      </xdr:nvSpPr>
      <xdr:spPr>
        <a:xfrm>
          <a:off x="0" y="0"/>
          <a:ext cx="18249900" cy="1418272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6</xdr:row>
      <xdr:rowOff>1</xdr:rowOff>
    </xdr:from>
    <xdr:to>
      <xdr:col>6</xdr:col>
      <xdr:colOff>180975</xdr:colOff>
      <xdr:row>17</xdr:row>
      <xdr:rowOff>76201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B6F341-86C5-4E92-BF29-86D92C82A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6.621508564815" createdVersion="8" refreshedVersion="8" minRefreshableVersion="3" recordCount="50" xr:uid="{5F95B68B-BD14-49BD-9D64-4B8FDB7B8B8E}">
  <cacheSource type="worksheet">
    <worksheetSource ref="A1:N51" sheet="DASHBOARD"/>
  </cacheSource>
  <cacheFields count="14">
    <cacheField name="Ride_ID" numFmtId="0">
      <sharedItems count="50">
        <s v="UBR001"/>
        <s v="UBR002"/>
        <s v="UBR003"/>
        <s v="UBR004"/>
        <s v="UBR005"/>
        <s v="UBR006"/>
        <s v="UBR007"/>
        <s v="UBR008"/>
        <s v="UBR009"/>
        <s v="UBR010"/>
        <s v="UBR011"/>
        <s v="UBR012"/>
        <s v="UBR013"/>
        <s v="UBR014"/>
        <s v="UBR015"/>
        <s v="UBR016"/>
        <s v="UBR017"/>
        <s v="UBR018"/>
        <s v="UBR019"/>
        <s v="UBR020"/>
        <s v="UBR021"/>
        <s v="UBR022"/>
        <s v="UBR023"/>
        <s v="UBR024"/>
        <s v="UBR025"/>
        <s v="UBR026"/>
        <s v="UBR027"/>
        <s v="UBR028"/>
        <s v="UBR029"/>
        <s v="UBR030"/>
        <s v="UBR031"/>
        <s v="UBR032"/>
        <s v="UBR033"/>
        <s v="UBR034"/>
        <s v="UBR035"/>
        <s v="UBR036"/>
        <s v="UBR037"/>
        <s v="UBR038"/>
        <s v="UBR039"/>
        <s v="UBR040"/>
        <s v="UBR041"/>
        <s v="UBR042"/>
        <s v="UBR043"/>
        <s v="UBR044"/>
        <s v="UBR045"/>
        <s v="UBR046"/>
        <s v="UBR047"/>
        <s v="UBR048"/>
        <s v="UBR049"/>
        <s v="UBR050"/>
      </sharedItems>
    </cacheField>
    <cacheField name="Date" numFmtId="15">
      <sharedItems containsSemiMixedTypes="0" containsNonDate="0" containsDate="1" containsString="0" minDate="2026-08-01T00:00:00" maxDate="2026-08-10T00:00:00" count="9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</sharedItems>
    </cacheField>
    <cacheField name="City" numFmtId="0">
      <sharedItems count="7">
        <s v="Bengaluru"/>
        <s v="Mumbai"/>
        <s v="Delhi"/>
        <s v="Hyderabad"/>
        <s v="Chennai"/>
        <s v="Pune"/>
        <s v="Kochi"/>
      </sharedItems>
    </cacheField>
    <cacheField name="Vehicle_Type" numFmtId="0">
      <sharedItems count="4">
        <s v="UberGo"/>
        <s v="UberXL"/>
        <s v="Premier"/>
        <s v="Auto"/>
      </sharedItems>
    </cacheField>
    <cacheField name="Trip_Type" numFmtId="0">
      <sharedItems count="2">
        <s v="City"/>
        <s v="Airport"/>
      </sharedItems>
    </cacheField>
    <cacheField name="Customer_Type" numFmtId="0">
      <sharedItems count="3">
        <s v="Regular"/>
        <s v="New"/>
        <s v="Premium"/>
      </sharedItems>
    </cacheField>
    <cacheField name="Payment_Mode" numFmtId="0">
      <sharedItems count="3">
        <s v="UPI"/>
        <s v="Card"/>
        <s v="Cash"/>
      </sharedItems>
    </cacheField>
    <cacheField name="Distance_KM" numFmtId="0">
      <sharedItems containsSemiMixedTypes="0" containsString="0" containsNumber="1" minValue="3.2" maxValue="28.7"/>
    </cacheField>
    <cacheField name="Fare_INR" numFmtId="0">
      <sharedItems containsSemiMixedTypes="0" containsString="0" containsNumber="1" containsInteger="1" minValue="80" maxValue="890"/>
    </cacheField>
    <cacheField name="Discount_INR" numFmtId="0">
      <sharedItems containsSemiMixedTypes="0" containsString="0" containsNumber="1" containsInteger="1" minValue="0" maxValue="100"/>
    </cacheField>
    <cacheField name="Driver_Rating" numFmtId="0">
      <sharedItems containsSemiMixedTypes="0" containsString="0" containsNumber="1" minValue="4.2" maxValue="4.9000000000000004"/>
    </cacheField>
    <cacheField name="Customer_Rating" numFmtId="0">
      <sharedItems containsSemiMixedTypes="0" containsString="0" containsNumber="1" minValue="4" maxValue="4.9000000000000004"/>
    </cacheField>
    <cacheField name="Trip_Duration_Min" numFmtId="0">
      <sharedItems containsSemiMixedTypes="0" containsString="0" containsNumber="1" containsInteger="1" minValue="14" maxValue="67"/>
    </cacheField>
    <cacheField name="Status" numFmtId="0">
      <sharedItems count="2">
        <s v="Complet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  <x v="0"/>
    <n v="8.5"/>
    <n v="245"/>
    <n v="20"/>
    <n v="4.8"/>
    <n v="4.7"/>
    <n v="28"/>
    <x v="0"/>
  </r>
  <r>
    <x v="1"/>
    <x v="0"/>
    <x v="1"/>
    <x v="0"/>
    <x v="0"/>
    <x v="1"/>
    <x v="1"/>
    <n v="12.2"/>
    <n v="385"/>
    <n v="50"/>
    <n v="4.5999999999999996"/>
    <n v="4.5"/>
    <n v="41"/>
    <x v="0"/>
  </r>
  <r>
    <x v="2"/>
    <x v="0"/>
    <x v="2"/>
    <x v="1"/>
    <x v="1"/>
    <x v="0"/>
    <x v="0"/>
    <n v="24.5"/>
    <n v="720"/>
    <n v="80"/>
    <n v="4.9000000000000004"/>
    <n v="4.8"/>
    <n v="55"/>
    <x v="0"/>
  </r>
  <r>
    <x v="3"/>
    <x v="0"/>
    <x v="3"/>
    <x v="0"/>
    <x v="0"/>
    <x v="0"/>
    <x v="2"/>
    <n v="6.8"/>
    <n v="190"/>
    <n v="0"/>
    <n v="4.5"/>
    <n v="4.5999999999999996"/>
    <n v="22"/>
    <x v="0"/>
  </r>
  <r>
    <x v="4"/>
    <x v="0"/>
    <x v="4"/>
    <x v="2"/>
    <x v="0"/>
    <x v="2"/>
    <x v="1"/>
    <n v="10.4"/>
    <n v="410"/>
    <n v="30"/>
    <n v="4.9000000000000004"/>
    <n v="4.9000000000000004"/>
    <n v="35"/>
    <x v="0"/>
  </r>
  <r>
    <x v="5"/>
    <x v="1"/>
    <x v="5"/>
    <x v="0"/>
    <x v="0"/>
    <x v="1"/>
    <x v="0"/>
    <n v="7.2"/>
    <n v="215"/>
    <n v="25"/>
    <n v="4.7"/>
    <n v="4.4000000000000004"/>
    <n v="25"/>
    <x v="0"/>
  </r>
  <r>
    <x v="6"/>
    <x v="1"/>
    <x v="0"/>
    <x v="3"/>
    <x v="0"/>
    <x v="0"/>
    <x v="0"/>
    <n v="4.5"/>
    <n v="105"/>
    <n v="10"/>
    <n v="4.5999999999999996"/>
    <n v="4.5"/>
    <n v="18"/>
    <x v="0"/>
  </r>
  <r>
    <x v="7"/>
    <x v="1"/>
    <x v="1"/>
    <x v="1"/>
    <x v="1"/>
    <x v="2"/>
    <x v="1"/>
    <n v="28.7"/>
    <n v="890"/>
    <n v="100"/>
    <n v="4.8"/>
    <n v="4.9000000000000004"/>
    <n v="67"/>
    <x v="0"/>
  </r>
  <r>
    <x v="8"/>
    <x v="1"/>
    <x v="2"/>
    <x v="0"/>
    <x v="0"/>
    <x v="0"/>
    <x v="2"/>
    <n v="9.8000000000000007"/>
    <n v="290"/>
    <n v="0"/>
    <n v="4.4000000000000004"/>
    <n v="4.2"/>
    <n v="31"/>
    <x v="0"/>
  </r>
  <r>
    <x v="9"/>
    <x v="1"/>
    <x v="6"/>
    <x v="0"/>
    <x v="1"/>
    <x v="1"/>
    <x v="0"/>
    <n v="18.5"/>
    <n v="540"/>
    <n v="60"/>
    <n v="4.7"/>
    <n v="4.5999999999999996"/>
    <n v="44"/>
    <x v="0"/>
  </r>
  <r>
    <x v="10"/>
    <x v="2"/>
    <x v="0"/>
    <x v="2"/>
    <x v="0"/>
    <x v="2"/>
    <x v="1"/>
    <n v="14.2"/>
    <n v="560"/>
    <n v="40"/>
    <n v="4.9000000000000004"/>
    <n v="4.8"/>
    <n v="43"/>
    <x v="0"/>
  </r>
  <r>
    <x v="11"/>
    <x v="2"/>
    <x v="1"/>
    <x v="0"/>
    <x v="0"/>
    <x v="0"/>
    <x v="0"/>
    <n v="5.7"/>
    <n v="175"/>
    <n v="15"/>
    <n v="4.5999999999999996"/>
    <n v="4.7"/>
    <n v="20"/>
    <x v="0"/>
  </r>
  <r>
    <x v="12"/>
    <x v="2"/>
    <x v="2"/>
    <x v="3"/>
    <x v="0"/>
    <x v="1"/>
    <x v="2"/>
    <n v="3.8"/>
    <n v="90"/>
    <n v="0"/>
    <n v="4.3"/>
    <n v="4.0999999999999996"/>
    <n v="16"/>
    <x v="0"/>
  </r>
  <r>
    <x v="13"/>
    <x v="2"/>
    <x v="3"/>
    <x v="1"/>
    <x v="1"/>
    <x v="0"/>
    <x v="1"/>
    <n v="22.4"/>
    <n v="680"/>
    <n v="70"/>
    <n v="4.8"/>
    <n v="4.7"/>
    <n v="52"/>
    <x v="0"/>
  </r>
  <r>
    <x v="14"/>
    <x v="2"/>
    <x v="4"/>
    <x v="0"/>
    <x v="0"/>
    <x v="0"/>
    <x v="0"/>
    <n v="8.9"/>
    <n v="260"/>
    <n v="20"/>
    <n v="4.7"/>
    <n v="4.5999999999999996"/>
    <n v="29"/>
    <x v="0"/>
  </r>
  <r>
    <x v="15"/>
    <x v="2"/>
    <x v="5"/>
    <x v="2"/>
    <x v="0"/>
    <x v="2"/>
    <x v="1"/>
    <n v="11.5"/>
    <n v="450"/>
    <n v="35"/>
    <n v="4.9000000000000004"/>
    <n v="4.9000000000000004"/>
    <n v="37"/>
    <x v="0"/>
  </r>
  <r>
    <x v="16"/>
    <x v="3"/>
    <x v="0"/>
    <x v="0"/>
    <x v="0"/>
    <x v="1"/>
    <x v="0"/>
    <n v="6.4"/>
    <n v="185"/>
    <n v="20"/>
    <n v="4.5"/>
    <n v="4.3"/>
    <n v="23"/>
    <x v="1"/>
  </r>
  <r>
    <x v="17"/>
    <x v="3"/>
    <x v="1"/>
    <x v="0"/>
    <x v="0"/>
    <x v="0"/>
    <x v="2"/>
    <n v="10.6"/>
    <n v="320"/>
    <n v="0"/>
    <n v="4.7"/>
    <n v="4.5"/>
    <n v="34"/>
    <x v="0"/>
  </r>
  <r>
    <x v="18"/>
    <x v="3"/>
    <x v="2"/>
    <x v="2"/>
    <x v="1"/>
    <x v="2"/>
    <x v="1"/>
    <n v="26.3"/>
    <n v="840"/>
    <n v="90"/>
    <n v="4.9000000000000004"/>
    <n v="4.8"/>
    <n v="61"/>
    <x v="0"/>
  </r>
  <r>
    <x v="19"/>
    <x v="3"/>
    <x v="6"/>
    <x v="3"/>
    <x v="0"/>
    <x v="0"/>
    <x v="0"/>
    <n v="5.0999999999999996"/>
    <n v="115"/>
    <n v="10"/>
    <n v="4.5"/>
    <n v="4.4000000000000004"/>
    <n v="19"/>
    <x v="0"/>
  </r>
  <r>
    <x v="20"/>
    <x v="3"/>
    <x v="3"/>
    <x v="0"/>
    <x v="0"/>
    <x v="0"/>
    <x v="0"/>
    <n v="9.3000000000000007"/>
    <n v="275"/>
    <n v="25"/>
    <n v="4.5999999999999996"/>
    <n v="4.7"/>
    <n v="30"/>
    <x v="0"/>
  </r>
  <r>
    <x v="21"/>
    <x v="3"/>
    <x v="4"/>
    <x v="1"/>
    <x v="1"/>
    <x v="1"/>
    <x v="1"/>
    <n v="21.8"/>
    <n v="650"/>
    <n v="75"/>
    <n v="4.7"/>
    <n v="4.5"/>
    <n v="50"/>
    <x v="0"/>
  </r>
  <r>
    <x v="22"/>
    <x v="4"/>
    <x v="5"/>
    <x v="0"/>
    <x v="0"/>
    <x v="0"/>
    <x v="2"/>
    <n v="7.6"/>
    <n v="225"/>
    <n v="0"/>
    <n v="4.4000000000000004"/>
    <n v="4.3"/>
    <n v="26"/>
    <x v="0"/>
  </r>
  <r>
    <x v="23"/>
    <x v="4"/>
    <x v="0"/>
    <x v="3"/>
    <x v="0"/>
    <x v="1"/>
    <x v="0"/>
    <n v="3.2"/>
    <n v="80"/>
    <n v="5"/>
    <n v="4.5"/>
    <n v="4.2"/>
    <n v="14"/>
    <x v="0"/>
  </r>
  <r>
    <x v="24"/>
    <x v="4"/>
    <x v="1"/>
    <x v="2"/>
    <x v="0"/>
    <x v="2"/>
    <x v="1"/>
    <n v="13.7"/>
    <n v="525"/>
    <n v="45"/>
    <n v="4.9000000000000004"/>
    <n v="4.9000000000000004"/>
    <n v="42"/>
    <x v="0"/>
  </r>
  <r>
    <x v="25"/>
    <x v="4"/>
    <x v="2"/>
    <x v="0"/>
    <x v="0"/>
    <x v="0"/>
    <x v="0"/>
    <n v="11.4"/>
    <n v="335"/>
    <n v="30"/>
    <n v="4.8"/>
    <n v="4.7"/>
    <n v="36"/>
    <x v="0"/>
  </r>
  <r>
    <x v="26"/>
    <x v="4"/>
    <x v="3"/>
    <x v="0"/>
    <x v="0"/>
    <x v="1"/>
    <x v="2"/>
    <n v="5.9"/>
    <n v="165"/>
    <n v="0"/>
    <n v="4.3"/>
    <n v="4.0999999999999996"/>
    <n v="21"/>
    <x v="1"/>
  </r>
  <r>
    <x v="27"/>
    <x v="4"/>
    <x v="4"/>
    <x v="0"/>
    <x v="0"/>
    <x v="0"/>
    <x v="0"/>
    <n v="8.1999999999999993"/>
    <n v="240"/>
    <n v="20"/>
    <n v="4.5999999999999996"/>
    <n v="4.5"/>
    <n v="27"/>
    <x v="0"/>
  </r>
  <r>
    <x v="28"/>
    <x v="5"/>
    <x v="6"/>
    <x v="2"/>
    <x v="1"/>
    <x v="2"/>
    <x v="1"/>
    <n v="19.600000000000001"/>
    <n v="610"/>
    <n v="60"/>
    <n v="4.8"/>
    <n v="4.8"/>
    <n v="47"/>
    <x v="0"/>
  </r>
  <r>
    <x v="29"/>
    <x v="5"/>
    <x v="5"/>
    <x v="3"/>
    <x v="0"/>
    <x v="0"/>
    <x v="0"/>
    <n v="4.2"/>
    <n v="95"/>
    <n v="5"/>
    <n v="4.5"/>
    <n v="4.4000000000000004"/>
    <n v="17"/>
    <x v="0"/>
  </r>
  <r>
    <x v="30"/>
    <x v="5"/>
    <x v="0"/>
    <x v="1"/>
    <x v="1"/>
    <x v="0"/>
    <x v="1"/>
    <n v="25.8"/>
    <n v="795"/>
    <n v="85"/>
    <n v="4.9000000000000004"/>
    <n v="4.8"/>
    <n v="59"/>
    <x v="0"/>
  </r>
  <r>
    <x v="31"/>
    <x v="5"/>
    <x v="1"/>
    <x v="0"/>
    <x v="0"/>
    <x v="1"/>
    <x v="0"/>
    <n v="9.1"/>
    <n v="270"/>
    <n v="30"/>
    <n v="4.5999999999999996"/>
    <n v="4.5"/>
    <n v="30"/>
    <x v="0"/>
  </r>
  <r>
    <x v="32"/>
    <x v="5"/>
    <x v="2"/>
    <x v="0"/>
    <x v="0"/>
    <x v="0"/>
    <x v="2"/>
    <n v="6.7"/>
    <n v="195"/>
    <n v="0"/>
    <n v="4.4000000000000004"/>
    <n v="4.3"/>
    <n v="23"/>
    <x v="0"/>
  </r>
  <r>
    <x v="33"/>
    <x v="6"/>
    <x v="3"/>
    <x v="2"/>
    <x v="0"/>
    <x v="2"/>
    <x v="1"/>
    <n v="12.8"/>
    <n v="490"/>
    <n v="40"/>
    <n v="4.9000000000000004"/>
    <n v="4.9000000000000004"/>
    <n v="39"/>
    <x v="0"/>
  </r>
  <r>
    <x v="34"/>
    <x v="6"/>
    <x v="4"/>
    <x v="0"/>
    <x v="0"/>
    <x v="0"/>
    <x v="0"/>
    <n v="7.5"/>
    <n v="220"/>
    <n v="15"/>
    <n v="4.7"/>
    <n v="4.5999999999999996"/>
    <n v="25"/>
    <x v="0"/>
  </r>
  <r>
    <x v="35"/>
    <x v="6"/>
    <x v="5"/>
    <x v="1"/>
    <x v="1"/>
    <x v="0"/>
    <x v="1"/>
    <n v="23.6"/>
    <n v="705"/>
    <n v="70"/>
    <n v="4.8"/>
    <n v="4.7"/>
    <n v="54"/>
    <x v="0"/>
  </r>
  <r>
    <x v="36"/>
    <x v="6"/>
    <x v="0"/>
    <x v="0"/>
    <x v="0"/>
    <x v="1"/>
    <x v="0"/>
    <n v="5.3"/>
    <n v="155"/>
    <n v="20"/>
    <n v="4.5"/>
    <n v="4.4000000000000004"/>
    <n v="19"/>
    <x v="0"/>
  </r>
  <r>
    <x v="37"/>
    <x v="6"/>
    <x v="1"/>
    <x v="3"/>
    <x v="0"/>
    <x v="0"/>
    <x v="2"/>
    <n v="4.7"/>
    <n v="110"/>
    <n v="0"/>
    <n v="4.4000000000000004"/>
    <n v="4.2"/>
    <n v="18"/>
    <x v="1"/>
  </r>
  <r>
    <x v="38"/>
    <x v="6"/>
    <x v="2"/>
    <x v="0"/>
    <x v="0"/>
    <x v="2"/>
    <x v="1"/>
    <n v="10.9"/>
    <n v="330"/>
    <n v="25"/>
    <n v="4.8"/>
    <n v="4.7"/>
    <n v="35"/>
    <x v="0"/>
  </r>
  <r>
    <x v="39"/>
    <x v="6"/>
    <x v="6"/>
    <x v="0"/>
    <x v="1"/>
    <x v="0"/>
    <x v="0"/>
    <n v="16.8"/>
    <n v="495"/>
    <n v="50"/>
    <n v="4.7"/>
    <n v="4.5999999999999996"/>
    <n v="40"/>
    <x v="0"/>
  </r>
  <r>
    <x v="40"/>
    <x v="7"/>
    <x v="3"/>
    <x v="3"/>
    <x v="0"/>
    <x v="1"/>
    <x v="0"/>
    <n v="3.9"/>
    <n v="92"/>
    <n v="5"/>
    <n v="4.5"/>
    <n v="4.3"/>
    <n v="15"/>
    <x v="0"/>
  </r>
  <r>
    <x v="41"/>
    <x v="7"/>
    <x v="4"/>
    <x v="2"/>
    <x v="0"/>
    <x v="2"/>
    <x v="1"/>
    <n v="15.2"/>
    <n v="575"/>
    <n v="50"/>
    <n v="4.9000000000000004"/>
    <n v="4.8"/>
    <n v="45"/>
    <x v="0"/>
  </r>
  <r>
    <x v="42"/>
    <x v="7"/>
    <x v="5"/>
    <x v="0"/>
    <x v="0"/>
    <x v="0"/>
    <x v="2"/>
    <n v="8.8000000000000007"/>
    <n v="255"/>
    <n v="0"/>
    <n v="4.5999999999999996"/>
    <n v="4.5"/>
    <n v="28"/>
    <x v="0"/>
  </r>
  <r>
    <x v="43"/>
    <x v="7"/>
    <x v="0"/>
    <x v="0"/>
    <x v="0"/>
    <x v="0"/>
    <x v="0"/>
    <n v="10.1"/>
    <n v="300"/>
    <n v="25"/>
    <n v="4.8"/>
    <n v="4.7"/>
    <n v="33"/>
    <x v="0"/>
  </r>
  <r>
    <x v="44"/>
    <x v="7"/>
    <x v="1"/>
    <x v="1"/>
    <x v="1"/>
    <x v="2"/>
    <x v="1"/>
    <n v="27.4"/>
    <n v="850"/>
    <n v="100"/>
    <n v="4.9000000000000004"/>
    <n v="4.9000000000000004"/>
    <n v="64"/>
    <x v="0"/>
  </r>
  <r>
    <x v="45"/>
    <x v="7"/>
    <x v="2"/>
    <x v="3"/>
    <x v="0"/>
    <x v="1"/>
    <x v="2"/>
    <n v="4.0999999999999996"/>
    <n v="95"/>
    <n v="0"/>
    <n v="4.2"/>
    <n v="4"/>
    <n v="17"/>
    <x v="0"/>
  </r>
  <r>
    <x v="46"/>
    <x v="8"/>
    <x v="3"/>
    <x v="0"/>
    <x v="0"/>
    <x v="0"/>
    <x v="0"/>
    <n v="7.9"/>
    <n v="230"/>
    <n v="20"/>
    <n v="4.7"/>
    <n v="4.5999999999999996"/>
    <n v="26"/>
    <x v="0"/>
  </r>
  <r>
    <x v="47"/>
    <x v="8"/>
    <x v="4"/>
    <x v="1"/>
    <x v="1"/>
    <x v="0"/>
    <x v="1"/>
    <n v="20.5"/>
    <n v="625"/>
    <n v="65"/>
    <n v="4.8"/>
    <n v="4.7"/>
    <n v="49"/>
    <x v="0"/>
  </r>
  <r>
    <x v="48"/>
    <x v="8"/>
    <x v="6"/>
    <x v="3"/>
    <x v="0"/>
    <x v="1"/>
    <x v="0"/>
    <n v="4.8"/>
    <n v="105"/>
    <n v="10"/>
    <n v="4.5999999999999996"/>
    <n v="4.4000000000000004"/>
    <n v="18"/>
    <x v="0"/>
  </r>
  <r>
    <x v="49"/>
    <x v="8"/>
    <x v="5"/>
    <x v="0"/>
    <x v="0"/>
    <x v="0"/>
    <x v="0"/>
    <n v="9.6"/>
    <n v="285"/>
    <n v="25"/>
    <n v="4.7"/>
    <n v="4.5999999999999996"/>
    <n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4E223-2187-4231-ADEB-8F37BF8FC028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I21" firstHeaderRow="1" firstDataRow="1" firstDataCol="1"/>
  <pivotFields count="14">
    <pivotField dataField="1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5B0B7-5E17-44D1-B5A4-03AD50C51A44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14">
    <pivotField showAll="0"/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624C9-23E3-48C5-848C-653AF53CBFAB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2:L16" firstHeaderRow="1" firstDataRow="1" firstDataCol="1"/>
  <pivotFields count="14">
    <pivotField dataField="1" showAll="0"/>
    <pivotField numFmtId="15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BBC82-1614-4B02-841D-B571ED31D95B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6" firstHeaderRow="1" firstDataRow="1" firstDataCol="1"/>
  <pivotFields count="14">
    <pivotField showAll="0"/>
    <pivotField numFmtId="15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Fare_IN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31E4A-4ACB-457E-A802-BAABB26F96BE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5DAA9-2022-4084-BEA7-37DEB5D677C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3" firstHeaderRow="1" firstDataRow="1" firstDataCol="1"/>
  <pivotFields count="14">
    <pivotField showAll="0"/>
    <pivotField axis="axisRow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are_IN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5E91-47D7-4A28-A3B2-012ED6A13002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4">
    <pivotField dataField="1" showAll="0"/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ABB97-DBE6-4E50-89EF-CAAE851E353C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4">
    <pivotField showAll="0"/>
    <pivotField numFmtId="15" showAll="0"/>
    <pivotField axis="axisRow" showAll="0">
      <items count="8">
        <item x="0"/>
        <item x="4"/>
        <item x="2"/>
        <item x="3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are_INR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B29B-DBA1-4D5A-B58B-5771E17F7A3B}">
  <dimension ref="A3:P21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5.85546875" bestFit="1" customWidth="1"/>
    <col min="4" max="4" width="13.42578125" bestFit="1" customWidth="1"/>
    <col min="5" max="5" width="23.7109375" bestFit="1" customWidth="1"/>
    <col min="7" max="8" width="13.42578125" bestFit="1" customWidth="1"/>
    <col min="9" max="9" width="16.42578125" bestFit="1" customWidth="1"/>
    <col min="11" max="11" width="13.42578125" bestFit="1" customWidth="1"/>
    <col min="12" max="12" width="16.42578125" bestFit="1" customWidth="1"/>
    <col min="15" max="15" width="13.42578125" bestFit="1" customWidth="1"/>
    <col min="16" max="16" width="15.85546875" bestFit="1" customWidth="1"/>
  </cols>
  <sheetData>
    <row r="3" spans="1:16" x14ac:dyDescent="0.25">
      <c r="A3" s="11" t="s">
        <v>119</v>
      </c>
      <c r="B3" t="s">
        <v>91</v>
      </c>
      <c r="D3" s="11" t="s">
        <v>119</v>
      </c>
      <c r="E3" t="s">
        <v>87</v>
      </c>
      <c r="G3" s="11" t="s">
        <v>119</v>
      </c>
      <c r="H3" t="s">
        <v>91</v>
      </c>
      <c r="K3" s="11" t="s">
        <v>119</v>
      </c>
      <c r="L3" t="s">
        <v>87</v>
      </c>
      <c r="O3" s="11" t="s">
        <v>119</v>
      </c>
      <c r="P3" t="s">
        <v>91</v>
      </c>
    </row>
    <row r="4" spans="1:16" x14ac:dyDescent="0.25">
      <c r="A4" s="12" t="s">
        <v>15</v>
      </c>
      <c r="B4" s="13">
        <v>2425</v>
      </c>
      <c r="D4" s="12" t="s">
        <v>38</v>
      </c>
      <c r="E4" s="13">
        <v>9</v>
      </c>
      <c r="G4" s="15">
        <v>46235</v>
      </c>
      <c r="H4" s="13">
        <v>1950</v>
      </c>
      <c r="K4" s="12" t="s">
        <v>23</v>
      </c>
      <c r="L4" s="13">
        <v>17</v>
      </c>
      <c r="O4" s="12" t="s">
        <v>27</v>
      </c>
      <c r="P4" s="13">
        <v>8400</v>
      </c>
    </row>
    <row r="5" spans="1:16" x14ac:dyDescent="0.25">
      <c r="A5" s="12" t="s">
        <v>32</v>
      </c>
      <c r="B5" s="13">
        <v>2980</v>
      </c>
      <c r="D5" s="12" t="s">
        <v>33</v>
      </c>
      <c r="E5" s="13">
        <v>8</v>
      </c>
      <c r="G5" s="15">
        <v>46236</v>
      </c>
      <c r="H5" s="13">
        <v>2040</v>
      </c>
      <c r="K5" s="12" t="s">
        <v>30</v>
      </c>
      <c r="L5" s="13">
        <v>10</v>
      </c>
      <c r="O5" s="12" t="s">
        <v>2</v>
      </c>
      <c r="P5" s="13">
        <v>9642</v>
      </c>
    </row>
    <row r="6" spans="1:16" x14ac:dyDescent="0.25">
      <c r="A6" s="12" t="s">
        <v>25</v>
      </c>
      <c r="B6" s="13">
        <v>2895</v>
      </c>
      <c r="D6" s="12" t="s">
        <v>16</v>
      </c>
      <c r="E6" s="13">
        <v>25</v>
      </c>
      <c r="G6" s="15">
        <v>46237</v>
      </c>
      <c r="H6" s="13">
        <v>2215</v>
      </c>
      <c r="K6" s="12" t="s">
        <v>18</v>
      </c>
      <c r="L6" s="13">
        <v>23</v>
      </c>
      <c r="O6" s="12" t="s">
        <v>120</v>
      </c>
      <c r="P6" s="13">
        <v>18042</v>
      </c>
    </row>
    <row r="7" spans="1:16" x14ac:dyDescent="0.25">
      <c r="A7" s="12" t="s">
        <v>29</v>
      </c>
      <c r="B7" s="13">
        <v>2122</v>
      </c>
      <c r="D7" s="12" t="s">
        <v>26</v>
      </c>
      <c r="E7" s="13">
        <v>8</v>
      </c>
      <c r="G7" s="15">
        <v>46238</v>
      </c>
      <c r="H7" s="13">
        <v>2385</v>
      </c>
      <c r="K7" s="12" t="s">
        <v>120</v>
      </c>
      <c r="L7" s="13">
        <v>50</v>
      </c>
    </row>
    <row r="8" spans="1:16" x14ac:dyDescent="0.25">
      <c r="A8" s="12" t="s">
        <v>42</v>
      </c>
      <c r="B8" s="13">
        <v>1865</v>
      </c>
      <c r="D8" s="12" t="s">
        <v>120</v>
      </c>
      <c r="E8" s="13">
        <v>50</v>
      </c>
      <c r="G8" s="15">
        <v>46239</v>
      </c>
      <c r="H8" s="13">
        <v>1570</v>
      </c>
    </row>
    <row r="9" spans="1:16" x14ac:dyDescent="0.25">
      <c r="A9" s="12" t="s">
        <v>21</v>
      </c>
      <c r="B9" s="13">
        <v>3525</v>
      </c>
      <c r="G9" s="15">
        <v>46240</v>
      </c>
      <c r="H9" s="13">
        <v>1965</v>
      </c>
    </row>
    <row r="10" spans="1:16" x14ac:dyDescent="0.25">
      <c r="A10" s="12" t="s">
        <v>36</v>
      </c>
      <c r="B10" s="13">
        <v>2230</v>
      </c>
      <c r="G10" s="15">
        <v>46241</v>
      </c>
      <c r="H10" s="13">
        <v>2505</v>
      </c>
    </row>
    <row r="11" spans="1:16" x14ac:dyDescent="0.25">
      <c r="A11" s="12" t="s">
        <v>120</v>
      </c>
      <c r="B11" s="13">
        <v>18042</v>
      </c>
      <c r="G11" s="15">
        <v>46242</v>
      </c>
      <c r="H11" s="13">
        <v>2167</v>
      </c>
    </row>
    <row r="12" spans="1:16" x14ac:dyDescent="0.25">
      <c r="G12" s="15">
        <v>46243</v>
      </c>
      <c r="H12" s="13">
        <v>1245</v>
      </c>
      <c r="K12" s="11" t="s">
        <v>119</v>
      </c>
      <c r="L12" t="s">
        <v>87</v>
      </c>
    </row>
    <row r="13" spans="1:16" x14ac:dyDescent="0.25">
      <c r="G13" s="15" t="s">
        <v>120</v>
      </c>
      <c r="H13" s="13">
        <v>18042</v>
      </c>
      <c r="K13" s="12" t="s">
        <v>22</v>
      </c>
      <c r="L13" s="13">
        <v>13</v>
      </c>
    </row>
    <row r="14" spans="1:16" x14ac:dyDescent="0.25">
      <c r="K14" s="12" t="s">
        <v>34</v>
      </c>
      <c r="L14" s="13">
        <v>11</v>
      </c>
    </row>
    <row r="15" spans="1:16" x14ac:dyDescent="0.25">
      <c r="K15" s="12" t="s">
        <v>17</v>
      </c>
      <c r="L15" s="13">
        <v>26</v>
      </c>
    </row>
    <row r="16" spans="1:16" x14ac:dyDescent="0.25">
      <c r="D16" s="11" t="s">
        <v>119</v>
      </c>
      <c r="E16" t="s">
        <v>121</v>
      </c>
      <c r="K16" s="12" t="s">
        <v>120</v>
      </c>
      <c r="L16" s="13">
        <v>50</v>
      </c>
    </row>
    <row r="17" spans="4:9" x14ac:dyDescent="0.25">
      <c r="D17" s="12" t="s">
        <v>38</v>
      </c>
      <c r="E17" s="13">
        <v>38.5</v>
      </c>
    </row>
    <row r="18" spans="4:9" x14ac:dyDescent="0.25">
      <c r="D18" s="12" t="s">
        <v>33</v>
      </c>
      <c r="E18" s="13">
        <v>38.799999999999997</v>
      </c>
      <c r="H18" s="11" t="s">
        <v>119</v>
      </c>
      <c r="I18" t="s">
        <v>87</v>
      </c>
    </row>
    <row r="19" spans="4:9" x14ac:dyDescent="0.25">
      <c r="D19" s="12" t="s">
        <v>16</v>
      </c>
      <c r="E19" s="13">
        <v>112.89999999999999</v>
      </c>
      <c r="H19" s="12" t="s">
        <v>50</v>
      </c>
      <c r="I19" s="13">
        <v>3</v>
      </c>
    </row>
    <row r="20" spans="4:9" x14ac:dyDescent="0.25">
      <c r="D20" s="12" t="s">
        <v>26</v>
      </c>
      <c r="E20" s="13">
        <v>38</v>
      </c>
      <c r="H20" s="12" t="s">
        <v>19</v>
      </c>
      <c r="I20" s="13">
        <v>47</v>
      </c>
    </row>
    <row r="21" spans="4:9" x14ac:dyDescent="0.25">
      <c r="D21" s="12" t="s">
        <v>120</v>
      </c>
      <c r="E21" s="13">
        <v>228.2</v>
      </c>
      <c r="H21" s="12" t="s">
        <v>120</v>
      </c>
      <c r="I21" s="13">
        <v>50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310C-92BC-4AEC-9507-9E55B15DF7E1}">
  <dimension ref="A1"/>
  <sheetViews>
    <sheetView tabSelected="1" workbookViewId="0">
      <selection activeCell="H9" sqref="H9"/>
    </sheetView>
  </sheetViews>
  <sheetFormatPr defaultRowHeight="15" x14ac:dyDescent="0.25"/>
  <sheetData>
    <row r="1" spans="1:1" x14ac:dyDescent="0.25">
      <c r="A1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4EB7-F9CB-41D8-A9B3-ACFA7680C953}">
  <dimension ref="A1:E27"/>
  <sheetViews>
    <sheetView topLeftCell="A12" workbookViewId="0">
      <selection activeCell="E10" sqref="E10"/>
    </sheetView>
  </sheetViews>
  <sheetFormatPr defaultRowHeight="15" x14ac:dyDescent="0.25"/>
  <cols>
    <col min="1" max="1" width="30.7109375" customWidth="1"/>
    <col min="2" max="2" width="61.28515625" customWidth="1"/>
  </cols>
  <sheetData>
    <row r="1" spans="1:5" x14ac:dyDescent="0.25">
      <c r="A1" s="8" t="s">
        <v>84</v>
      </c>
      <c r="B1" s="8" t="s">
        <v>85</v>
      </c>
    </row>
    <row r="2" spans="1:5" x14ac:dyDescent="0.25">
      <c r="A2" s="10" t="s">
        <v>86</v>
      </c>
      <c r="B2" s="10" t="s">
        <v>87</v>
      </c>
      <c r="E2">
        <f>COUNTA(DASHBOARD!A:A)-1</f>
        <v>50</v>
      </c>
    </row>
    <row r="3" spans="1:5" x14ac:dyDescent="0.25">
      <c r="A3" s="10" t="s">
        <v>88</v>
      </c>
      <c r="B3" s="10" t="s">
        <v>89</v>
      </c>
      <c r="E3">
        <f>COUNTIF(DASHBOARD!N:N,DASHBOARD!N3)</f>
        <v>47</v>
      </c>
    </row>
    <row r="4" spans="1:5" x14ac:dyDescent="0.25">
      <c r="A4" s="10" t="s">
        <v>90</v>
      </c>
      <c r="B4" s="10" t="s">
        <v>91</v>
      </c>
      <c r="E4">
        <f>SUM(DASHBOARD!I:I)</f>
        <v>18042</v>
      </c>
    </row>
    <row r="5" spans="1:5" x14ac:dyDescent="0.25">
      <c r="A5" s="10" t="s">
        <v>92</v>
      </c>
      <c r="B5" s="10" t="s">
        <v>93</v>
      </c>
      <c r="E5">
        <f>AVERAGE(DASHBOARD!I:I)</f>
        <v>360.84</v>
      </c>
    </row>
    <row r="6" spans="1:5" x14ac:dyDescent="0.25">
      <c r="A6" s="10" t="s">
        <v>94</v>
      </c>
      <c r="B6" s="10" t="s">
        <v>95</v>
      </c>
      <c r="E6">
        <f>AVERAGE(DASHBOARD!L:L)</f>
        <v>4.5640000000000001</v>
      </c>
    </row>
    <row r="9" spans="1:5" x14ac:dyDescent="0.25">
      <c r="A9" s="8" t="s">
        <v>96</v>
      </c>
      <c r="B9" s="8" t="s">
        <v>97</v>
      </c>
    </row>
    <row r="10" spans="1:5" x14ac:dyDescent="0.25">
      <c r="A10" s="9" t="s">
        <v>98</v>
      </c>
      <c r="B10" s="10" t="s">
        <v>99</v>
      </c>
    </row>
    <row r="11" spans="1:5" x14ac:dyDescent="0.25">
      <c r="A11" s="9" t="s">
        <v>100</v>
      </c>
      <c r="B11" s="10" t="s">
        <v>101</v>
      </c>
    </row>
    <row r="12" spans="1:5" x14ac:dyDescent="0.25">
      <c r="A12" s="9" t="s">
        <v>102</v>
      </c>
      <c r="B12" s="10" t="s">
        <v>103</v>
      </c>
    </row>
    <row r="13" spans="1:5" x14ac:dyDescent="0.25">
      <c r="A13" s="9" t="s">
        <v>104</v>
      </c>
      <c r="B13" s="10" t="s">
        <v>105</v>
      </c>
    </row>
    <row r="14" spans="1:5" x14ac:dyDescent="0.25">
      <c r="A14" s="9" t="s">
        <v>106</v>
      </c>
      <c r="B14" s="10" t="s">
        <v>107</v>
      </c>
    </row>
    <row r="15" spans="1:5" x14ac:dyDescent="0.25">
      <c r="A15" s="9" t="s">
        <v>108</v>
      </c>
      <c r="B15" s="10" t="s">
        <v>109</v>
      </c>
    </row>
    <row r="16" spans="1:5" x14ac:dyDescent="0.25">
      <c r="A16" s="9" t="s">
        <v>110</v>
      </c>
      <c r="B16" s="10" t="s">
        <v>111</v>
      </c>
    </row>
    <row r="17" spans="1:2" x14ac:dyDescent="0.25">
      <c r="A17" s="9" t="s">
        <v>112</v>
      </c>
      <c r="B17" s="10" t="s">
        <v>113</v>
      </c>
    </row>
    <row r="19" spans="1:2" ht="18" x14ac:dyDescent="0.25">
      <c r="A19" s="6" t="s">
        <v>114</v>
      </c>
    </row>
    <row r="20" spans="1:2" x14ac:dyDescent="0.25">
      <c r="A20" s="7"/>
    </row>
    <row r="21" spans="1:2" x14ac:dyDescent="0.25">
      <c r="A21" s="7" t="s">
        <v>1</v>
      </c>
    </row>
    <row r="22" spans="1:2" x14ac:dyDescent="0.25">
      <c r="A22" s="7" t="s">
        <v>2</v>
      </c>
    </row>
    <row r="23" spans="1:2" x14ac:dyDescent="0.25">
      <c r="A23" s="7" t="s">
        <v>115</v>
      </c>
    </row>
    <row r="24" spans="1:2" x14ac:dyDescent="0.25">
      <c r="A24" s="7" t="s">
        <v>116</v>
      </c>
    </row>
    <row r="25" spans="1:2" x14ac:dyDescent="0.25">
      <c r="A25" s="7" t="s">
        <v>117</v>
      </c>
    </row>
    <row r="26" spans="1:2" x14ac:dyDescent="0.25">
      <c r="A26" s="7" t="s">
        <v>118</v>
      </c>
    </row>
    <row r="27" spans="1:2" x14ac:dyDescent="0.25">
      <c r="A27" s="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497-0E56-43AE-8C5B-AD63BA2131E1}">
  <dimension ref="A1:N51"/>
  <sheetViews>
    <sheetView workbookViewId="0">
      <selection sqref="A1:N51"/>
    </sheetView>
  </sheetViews>
  <sheetFormatPr defaultRowHeight="15" x14ac:dyDescent="0.25"/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4" ht="30" x14ac:dyDescent="0.25">
      <c r="A2" s="4" t="s">
        <v>14</v>
      </c>
      <c r="B2" s="5">
        <v>46235</v>
      </c>
      <c r="C2" s="4" t="s">
        <v>15</v>
      </c>
      <c r="D2" s="4" t="s">
        <v>16</v>
      </c>
      <c r="E2" s="4" t="s">
        <v>2</v>
      </c>
      <c r="F2" s="4" t="s">
        <v>17</v>
      </c>
      <c r="G2" s="4" t="s">
        <v>18</v>
      </c>
      <c r="H2" s="2">
        <v>8.5</v>
      </c>
      <c r="I2" s="2">
        <v>245</v>
      </c>
      <c r="J2" s="2">
        <v>20</v>
      </c>
      <c r="K2" s="2">
        <v>4.8</v>
      </c>
      <c r="L2" s="2">
        <v>4.7</v>
      </c>
      <c r="M2" s="2">
        <v>28</v>
      </c>
      <c r="N2" s="4" t="s">
        <v>19</v>
      </c>
    </row>
    <row r="3" spans="1:14" ht="30" x14ac:dyDescent="0.25">
      <c r="A3" s="4" t="s">
        <v>20</v>
      </c>
      <c r="B3" s="5">
        <v>46235</v>
      </c>
      <c r="C3" s="4" t="s">
        <v>21</v>
      </c>
      <c r="D3" s="4" t="s">
        <v>16</v>
      </c>
      <c r="E3" s="4" t="s">
        <v>2</v>
      </c>
      <c r="F3" s="4" t="s">
        <v>22</v>
      </c>
      <c r="G3" s="4" t="s">
        <v>23</v>
      </c>
      <c r="H3" s="2">
        <v>12.2</v>
      </c>
      <c r="I3" s="2">
        <v>385</v>
      </c>
      <c r="J3" s="2">
        <v>50</v>
      </c>
      <c r="K3" s="2">
        <v>4.5999999999999996</v>
      </c>
      <c r="L3" s="2">
        <v>4.5</v>
      </c>
      <c r="M3" s="2">
        <v>41</v>
      </c>
      <c r="N3" s="4" t="s">
        <v>19</v>
      </c>
    </row>
    <row r="4" spans="1:14" ht="30" x14ac:dyDescent="0.25">
      <c r="A4" s="4" t="s">
        <v>24</v>
      </c>
      <c r="B4" s="5">
        <v>46235</v>
      </c>
      <c r="C4" s="4" t="s">
        <v>25</v>
      </c>
      <c r="D4" s="4" t="s">
        <v>26</v>
      </c>
      <c r="E4" s="4" t="s">
        <v>27</v>
      </c>
      <c r="F4" s="4" t="s">
        <v>17</v>
      </c>
      <c r="G4" s="4" t="s">
        <v>18</v>
      </c>
      <c r="H4" s="2">
        <v>24.5</v>
      </c>
      <c r="I4" s="2">
        <v>720</v>
      </c>
      <c r="J4" s="2">
        <v>80</v>
      </c>
      <c r="K4" s="2">
        <v>4.9000000000000004</v>
      </c>
      <c r="L4" s="2">
        <v>4.8</v>
      </c>
      <c r="M4" s="2">
        <v>55</v>
      </c>
      <c r="N4" s="4" t="s">
        <v>19</v>
      </c>
    </row>
    <row r="5" spans="1:14" ht="30" x14ac:dyDescent="0.25">
      <c r="A5" s="4" t="s">
        <v>28</v>
      </c>
      <c r="B5" s="5">
        <v>46235</v>
      </c>
      <c r="C5" s="4" t="s">
        <v>29</v>
      </c>
      <c r="D5" s="4" t="s">
        <v>16</v>
      </c>
      <c r="E5" s="4" t="s">
        <v>2</v>
      </c>
      <c r="F5" s="4" t="s">
        <v>17</v>
      </c>
      <c r="G5" s="4" t="s">
        <v>30</v>
      </c>
      <c r="H5" s="2">
        <v>6.8</v>
      </c>
      <c r="I5" s="2">
        <v>190</v>
      </c>
      <c r="J5" s="2">
        <v>0</v>
      </c>
      <c r="K5" s="2">
        <v>4.5</v>
      </c>
      <c r="L5" s="2">
        <v>4.5999999999999996</v>
      </c>
      <c r="M5" s="2">
        <v>22</v>
      </c>
      <c r="N5" s="4" t="s">
        <v>19</v>
      </c>
    </row>
    <row r="6" spans="1:14" ht="30" x14ac:dyDescent="0.25">
      <c r="A6" s="4" t="s">
        <v>31</v>
      </c>
      <c r="B6" s="5">
        <v>46235</v>
      </c>
      <c r="C6" s="4" t="s">
        <v>32</v>
      </c>
      <c r="D6" s="4" t="s">
        <v>33</v>
      </c>
      <c r="E6" s="4" t="s">
        <v>2</v>
      </c>
      <c r="F6" s="4" t="s">
        <v>34</v>
      </c>
      <c r="G6" s="4" t="s">
        <v>23</v>
      </c>
      <c r="H6" s="2">
        <v>10.4</v>
      </c>
      <c r="I6" s="2">
        <v>410</v>
      </c>
      <c r="J6" s="2">
        <v>30</v>
      </c>
      <c r="K6" s="2">
        <v>4.9000000000000004</v>
      </c>
      <c r="L6" s="2">
        <v>4.9000000000000004</v>
      </c>
      <c r="M6" s="2">
        <v>35</v>
      </c>
      <c r="N6" s="4" t="s">
        <v>19</v>
      </c>
    </row>
    <row r="7" spans="1:14" ht="30" x14ac:dyDescent="0.25">
      <c r="A7" s="4" t="s">
        <v>35</v>
      </c>
      <c r="B7" s="5">
        <v>46236</v>
      </c>
      <c r="C7" s="4" t="s">
        <v>36</v>
      </c>
      <c r="D7" s="4" t="s">
        <v>16</v>
      </c>
      <c r="E7" s="4" t="s">
        <v>2</v>
      </c>
      <c r="F7" s="4" t="s">
        <v>22</v>
      </c>
      <c r="G7" s="4" t="s">
        <v>18</v>
      </c>
      <c r="H7" s="2">
        <v>7.2</v>
      </c>
      <c r="I7" s="2">
        <v>215</v>
      </c>
      <c r="J7" s="2">
        <v>25</v>
      </c>
      <c r="K7" s="2">
        <v>4.7</v>
      </c>
      <c r="L7" s="2">
        <v>4.4000000000000004</v>
      </c>
      <c r="M7" s="2">
        <v>25</v>
      </c>
      <c r="N7" s="4" t="s">
        <v>19</v>
      </c>
    </row>
    <row r="8" spans="1:14" ht="30" x14ac:dyDescent="0.25">
      <c r="A8" s="4" t="s">
        <v>37</v>
      </c>
      <c r="B8" s="5">
        <v>46236</v>
      </c>
      <c r="C8" s="4" t="s">
        <v>15</v>
      </c>
      <c r="D8" s="4" t="s">
        <v>38</v>
      </c>
      <c r="E8" s="4" t="s">
        <v>2</v>
      </c>
      <c r="F8" s="4" t="s">
        <v>17</v>
      </c>
      <c r="G8" s="4" t="s">
        <v>18</v>
      </c>
      <c r="H8" s="2">
        <v>4.5</v>
      </c>
      <c r="I8" s="2">
        <v>105</v>
      </c>
      <c r="J8" s="2">
        <v>10</v>
      </c>
      <c r="K8" s="2">
        <v>4.5999999999999996</v>
      </c>
      <c r="L8" s="2">
        <v>4.5</v>
      </c>
      <c r="M8" s="2">
        <v>18</v>
      </c>
      <c r="N8" s="4" t="s">
        <v>19</v>
      </c>
    </row>
    <row r="9" spans="1:14" ht="30" x14ac:dyDescent="0.25">
      <c r="A9" s="4" t="s">
        <v>39</v>
      </c>
      <c r="B9" s="5">
        <v>46236</v>
      </c>
      <c r="C9" s="4" t="s">
        <v>21</v>
      </c>
      <c r="D9" s="4" t="s">
        <v>26</v>
      </c>
      <c r="E9" s="4" t="s">
        <v>27</v>
      </c>
      <c r="F9" s="4" t="s">
        <v>34</v>
      </c>
      <c r="G9" s="4" t="s">
        <v>23</v>
      </c>
      <c r="H9" s="2">
        <v>28.7</v>
      </c>
      <c r="I9" s="2">
        <v>890</v>
      </c>
      <c r="J9" s="2">
        <v>100</v>
      </c>
      <c r="K9" s="2">
        <v>4.8</v>
      </c>
      <c r="L9" s="2">
        <v>4.9000000000000004</v>
      </c>
      <c r="M9" s="2">
        <v>67</v>
      </c>
      <c r="N9" s="4" t="s">
        <v>19</v>
      </c>
    </row>
    <row r="10" spans="1:14" ht="30" x14ac:dyDescent="0.25">
      <c r="A10" s="4" t="s">
        <v>40</v>
      </c>
      <c r="B10" s="5">
        <v>46236</v>
      </c>
      <c r="C10" s="4" t="s">
        <v>25</v>
      </c>
      <c r="D10" s="4" t="s">
        <v>16</v>
      </c>
      <c r="E10" s="4" t="s">
        <v>2</v>
      </c>
      <c r="F10" s="4" t="s">
        <v>17</v>
      </c>
      <c r="G10" s="4" t="s">
        <v>30</v>
      </c>
      <c r="H10" s="2">
        <v>9.8000000000000007</v>
      </c>
      <c r="I10" s="2">
        <v>290</v>
      </c>
      <c r="J10" s="2">
        <v>0</v>
      </c>
      <c r="K10" s="2">
        <v>4.4000000000000004</v>
      </c>
      <c r="L10" s="2">
        <v>4.2</v>
      </c>
      <c r="M10" s="2">
        <v>31</v>
      </c>
      <c r="N10" s="4" t="s">
        <v>19</v>
      </c>
    </row>
    <row r="11" spans="1:14" ht="30" x14ac:dyDescent="0.25">
      <c r="A11" s="4" t="s">
        <v>41</v>
      </c>
      <c r="B11" s="5">
        <v>46236</v>
      </c>
      <c r="C11" s="4" t="s">
        <v>42</v>
      </c>
      <c r="D11" s="4" t="s">
        <v>16</v>
      </c>
      <c r="E11" s="4" t="s">
        <v>27</v>
      </c>
      <c r="F11" s="4" t="s">
        <v>22</v>
      </c>
      <c r="G11" s="4" t="s">
        <v>18</v>
      </c>
      <c r="H11" s="2">
        <v>18.5</v>
      </c>
      <c r="I11" s="2">
        <v>540</v>
      </c>
      <c r="J11" s="2">
        <v>60</v>
      </c>
      <c r="K11" s="2">
        <v>4.7</v>
      </c>
      <c r="L11" s="2">
        <v>4.5999999999999996</v>
      </c>
      <c r="M11" s="2">
        <v>44</v>
      </c>
      <c r="N11" s="4" t="s">
        <v>19</v>
      </c>
    </row>
    <row r="12" spans="1:14" ht="30" x14ac:dyDescent="0.25">
      <c r="A12" s="4" t="s">
        <v>43</v>
      </c>
      <c r="B12" s="5">
        <v>46237</v>
      </c>
      <c r="C12" s="4" t="s">
        <v>15</v>
      </c>
      <c r="D12" s="4" t="s">
        <v>33</v>
      </c>
      <c r="E12" s="4" t="s">
        <v>2</v>
      </c>
      <c r="F12" s="4" t="s">
        <v>34</v>
      </c>
      <c r="G12" s="4" t="s">
        <v>23</v>
      </c>
      <c r="H12" s="2">
        <v>14.2</v>
      </c>
      <c r="I12" s="2">
        <v>560</v>
      </c>
      <c r="J12" s="2">
        <v>40</v>
      </c>
      <c r="K12" s="2">
        <v>4.9000000000000004</v>
      </c>
      <c r="L12" s="2">
        <v>4.8</v>
      </c>
      <c r="M12" s="2">
        <v>43</v>
      </c>
      <c r="N12" s="4" t="s">
        <v>19</v>
      </c>
    </row>
    <row r="13" spans="1:14" ht="30" x14ac:dyDescent="0.25">
      <c r="A13" s="4" t="s">
        <v>44</v>
      </c>
      <c r="B13" s="5">
        <v>46237</v>
      </c>
      <c r="C13" s="4" t="s">
        <v>21</v>
      </c>
      <c r="D13" s="4" t="s">
        <v>16</v>
      </c>
      <c r="E13" s="4" t="s">
        <v>2</v>
      </c>
      <c r="F13" s="4" t="s">
        <v>17</v>
      </c>
      <c r="G13" s="4" t="s">
        <v>18</v>
      </c>
      <c r="H13" s="2">
        <v>5.7</v>
      </c>
      <c r="I13" s="2">
        <v>175</v>
      </c>
      <c r="J13" s="2">
        <v>15</v>
      </c>
      <c r="K13" s="2">
        <v>4.5999999999999996</v>
      </c>
      <c r="L13" s="2">
        <v>4.7</v>
      </c>
      <c r="M13" s="2">
        <v>20</v>
      </c>
      <c r="N13" s="4" t="s">
        <v>19</v>
      </c>
    </row>
    <row r="14" spans="1:14" ht="30" x14ac:dyDescent="0.25">
      <c r="A14" s="4" t="s">
        <v>45</v>
      </c>
      <c r="B14" s="5">
        <v>46237</v>
      </c>
      <c r="C14" s="4" t="s">
        <v>25</v>
      </c>
      <c r="D14" s="4" t="s">
        <v>38</v>
      </c>
      <c r="E14" s="4" t="s">
        <v>2</v>
      </c>
      <c r="F14" s="4" t="s">
        <v>22</v>
      </c>
      <c r="G14" s="4" t="s">
        <v>30</v>
      </c>
      <c r="H14" s="2">
        <v>3.8</v>
      </c>
      <c r="I14" s="2">
        <v>90</v>
      </c>
      <c r="J14" s="2">
        <v>0</v>
      </c>
      <c r="K14" s="2">
        <v>4.3</v>
      </c>
      <c r="L14" s="2">
        <v>4.0999999999999996</v>
      </c>
      <c r="M14" s="2">
        <v>16</v>
      </c>
      <c r="N14" s="4" t="s">
        <v>19</v>
      </c>
    </row>
    <row r="15" spans="1:14" ht="30" x14ac:dyDescent="0.25">
      <c r="A15" s="4" t="s">
        <v>46</v>
      </c>
      <c r="B15" s="5">
        <v>46237</v>
      </c>
      <c r="C15" s="4" t="s">
        <v>29</v>
      </c>
      <c r="D15" s="4" t="s">
        <v>26</v>
      </c>
      <c r="E15" s="4" t="s">
        <v>27</v>
      </c>
      <c r="F15" s="4" t="s">
        <v>17</v>
      </c>
      <c r="G15" s="4" t="s">
        <v>23</v>
      </c>
      <c r="H15" s="2">
        <v>22.4</v>
      </c>
      <c r="I15" s="2">
        <v>680</v>
      </c>
      <c r="J15" s="2">
        <v>70</v>
      </c>
      <c r="K15" s="2">
        <v>4.8</v>
      </c>
      <c r="L15" s="2">
        <v>4.7</v>
      </c>
      <c r="M15" s="2">
        <v>52</v>
      </c>
      <c r="N15" s="4" t="s">
        <v>19</v>
      </c>
    </row>
    <row r="16" spans="1:14" ht="30" x14ac:dyDescent="0.25">
      <c r="A16" s="4" t="s">
        <v>47</v>
      </c>
      <c r="B16" s="5">
        <v>46237</v>
      </c>
      <c r="C16" s="4" t="s">
        <v>32</v>
      </c>
      <c r="D16" s="4" t="s">
        <v>16</v>
      </c>
      <c r="E16" s="4" t="s">
        <v>2</v>
      </c>
      <c r="F16" s="4" t="s">
        <v>17</v>
      </c>
      <c r="G16" s="4" t="s">
        <v>18</v>
      </c>
      <c r="H16" s="2">
        <v>8.9</v>
      </c>
      <c r="I16" s="2">
        <v>260</v>
      </c>
      <c r="J16" s="2">
        <v>20</v>
      </c>
      <c r="K16" s="2">
        <v>4.7</v>
      </c>
      <c r="L16" s="2">
        <v>4.5999999999999996</v>
      </c>
      <c r="M16" s="2">
        <v>29</v>
      </c>
      <c r="N16" s="4" t="s">
        <v>19</v>
      </c>
    </row>
    <row r="17" spans="1:14" ht="30" x14ac:dyDescent="0.25">
      <c r="A17" s="4" t="s">
        <v>48</v>
      </c>
      <c r="B17" s="5">
        <v>46237</v>
      </c>
      <c r="C17" s="4" t="s">
        <v>36</v>
      </c>
      <c r="D17" s="4" t="s">
        <v>33</v>
      </c>
      <c r="E17" s="4" t="s">
        <v>2</v>
      </c>
      <c r="F17" s="4" t="s">
        <v>34</v>
      </c>
      <c r="G17" s="4" t="s">
        <v>23</v>
      </c>
      <c r="H17" s="2">
        <v>11.5</v>
      </c>
      <c r="I17" s="2">
        <v>450</v>
      </c>
      <c r="J17" s="2">
        <v>35</v>
      </c>
      <c r="K17" s="2">
        <v>4.9000000000000004</v>
      </c>
      <c r="L17" s="2">
        <v>4.9000000000000004</v>
      </c>
      <c r="M17" s="2">
        <v>37</v>
      </c>
      <c r="N17" s="4" t="s">
        <v>19</v>
      </c>
    </row>
    <row r="18" spans="1:14" ht="30" x14ac:dyDescent="0.25">
      <c r="A18" s="4" t="s">
        <v>49</v>
      </c>
      <c r="B18" s="5">
        <v>46238</v>
      </c>
      <c r="C18" s="4" t="s">
        <v>15</v>
      </c>
      <c r="D18" s="4" t="s">
        <v>16</v>
      </c>
      <c r="E18" s="4" t="s">
        <v>2</v>
      </c>
      <c r="F18" s="4" t="s">
        <v>22</v>
      </c>
      <c r="G18" s="4" t="s">
        <v>18</v>
      </c>
      <c r="H18" s="2">
        <v>6.4</v>
      </c>
      <c r="I18" s="2">
        <v>185</v>
      </c>
      <c r="J18" s="2">
        <v>20</v>
      </c>
      <c r="K18" s="2">
        <v>4.5</v>
      </c>
      <c r="L18" s="2">
        <v>4.3</v>
      </c>
      <c r="M18" s="2">
        <v>23</v>
      </c>
      <c r="N18" s="4" t="s">
        <v>50</v>
      </c>
    </row>
    <row r="19" spans="1:14" ht="30" x14ac:dyDescent="0.25">
      <c r="A19" s="4" t="s">
        <v>51</v>
      </c>
      <c r="B19" s="5">
        <v>46238</v>
      </c>
      <c r="C19" s="4" t="s">
        <v>21</v>
      </c>
      <c r="D19" s="4" t="s">
        <v>16</v>
      </c>
      <c r="E19" s="4" t="s">
        <v>2</v>
      </c>
      <c r="F19" s="4" t="s">
        <v>17</v>
      </c>
      <c r="G19" s="4" t="s">
        <v>30</v>
      </c>
      <c r="H19" s="2">
        <v>10.6</v>
      </c>
      <c r="I19" s="2">
        <v>320</v>
      </c>
      <c r="J19" s="2">
        <v>0</v>
      </c>
      <c r="K19" s="2">
        <v>4.7</v>
      </c>
      <c r="L19" s="2">
        <v>4.5</v>
      </c>
      <c r="M19" s="2">
        <v>34</v>
      </c>
      <c r="N19" s="4" t="s">
        <v>19</v>
      </c>
    </row>
    <row r="20" spans="1:14" ht="30" x14ac:dyDescent="0.25">
      <c r="A20" s="4" t="s">
        <v>52</v>
      </c>
      <c r="B20" s="5">
        <v>46238</v>
      </c>
      <c r="C20" s="4" t="s">
        <v>25</v>
      </c>
      <c r="D20" s="4" t="s">
        <v>33</v>
      </c>
      <c r="E20" s="4" t="s">
        <v>27</v>
      </c>
      <c r="F20" s="4" t="s">
        <v>34</v>
      </c>
      <c r="G20" s="4" t="s">
        <v>23</v>
      </c>
      <c r="H20" s="2">
        <v>26.3</v>
      </c>
      <c r="I20" s="2">
        <v>840</v>
      </c>
      <c r="J20" s="2">
        <v>90</v>
      </c>
      <c r="K20" s="2">
        <v>4.9000000000000004</v>
      </c>
      <c r="L20" s="2">
        <v>4.8</v>
      </c>
      <c r="M20" s="2">
        <v>61</v>
      </c>
      <c r="N20" s="4" t="s">
        <v>19</v>
      </c>
    </row>
    <row r="21" spans="1:14" ht="30" x14ac:dyDescent="0.25">
      <c r="A21" s="4" t="s">
        <v>53</v>
      </c>
      <c r="B21" s="5">
        <v>46238</v>
      </c>
      <c r="C21" s="4" t="s">
        <v>42</v>
      </c>
      <c r="D21" s="4" t="s">
        <v>38</v>
      </c>
      <c r="E21" s="4" t="s">
        <v>2</v>
      </c>
      <c r="F21" s="4" t="s">
        <v>17</v>
      </c>
      <c r="G21" s="4" t="s">
        <v>18</v>
      </c>
      <c r="H21" s="2">
        <v>5.0999999999999996</v>
      </c>
      <c r="I21" s="2">
        <v>115</v>
      </c>
      <c r="J21" s="2">
        <v>10</v>
      </c>
      <c r="K21" s="2">
        <v>4.5</v>
      </c>
      <c r="L21" s="2">
        <v>4.4000000000000004</v>
      </c>
      <c r="M21" s="2">
        <v>19</v>
      </c>
      <c r="N21" s="4" t="s">
        <v>19</v>
      </c>
    </row>
    <row r="22" spans="1:14" ht="30" x14ac:dyDescent="0.25">
      <c r="A22" s="4" t="s">
        <v>54</v>
      </c>
      <c r="B22" s="5">
        <v>46238</v>
      </c>
      <c r="C22" s="4" t="s">
        <v>29</v>
      </c>
      <c r="D22" s="4" t="s">
        <v>16</v>
      </c>
      <c r="E22" s="4" t="s">
        <v>2</v>
      </c>
      <c r="F22" s="4" t="s">
        <v>17</v>
      </c>
      <c r="G22" s="4" t="s">
        <v>18</v>
      </c>
      <c r="H22" s="2">
        <v>9.3000000000000007</v>
      </c>
      <c r="I22" s="2">
        <v>275</v>
      </c>
      <c r="J22" s="2">
        <v>25</v>
      </c>
      <c r="K22" s="2">
        <v>4.5999999999999996</v>
      </c>
      <c r="L22" s="2">
        <v>4.7</v>
      </c>
      <c r="M22" s="2">
        <v>30</v>
      </c>
      <c r="N22" s="4" t="s">
        <v>19</v>
      </c>
    </row>
    <row r="23" spans="1:14" ht="30" x14ac:dyDescent="0.25">
      <c r="A23" s="4" t="s">
        <v>55</v>
      </c>
      <c r="B23" s="5">
        <v>46238</v>
      </c>
      <c r="C23" s="4" t="s">
        <v>32</v>
      </c>
      <c r="D23" s="4" t="s">
        <v>26</v>
      </c>
      <c r="E23" s="4" t="s">
        <v>27</v>
      </c>
      <c r="F23" s="4" t="s">
        <v>22</v>
      </c>
      <c r="G23" s="4" t="s">
        <v>23</v>
      </c>
      <c r="H23" s="2">
        <v>21.8</v>
      </c>
      <c r="I23" s="2">
        <v>650</v>
      </c>
      <c r="J23" s="2">
        <v>75</v>
      </c>
      <c r="K23" s="2">
        <v>4.7</v>
      </c>
      <c r="L23" s="2">
        <v>4.5</v>
      </c>
      <c r="M23" s="2">
        <v>50</v>
      </c>
      <c r="N23" s="4" t="s">
        <v>19</v>
      </c>
    </row>
    <row r="24" spans="1:14" ht="30" x14ac:dyDescent="0.25">
      <c r="A24" s="4" t="s">
        <v>56</v>
      </c>
      <c r="B24" s="5">
        <v>46239</v>
      </c>
      <c r="C24" s="4" t="s">
        <v>36</v>
      </c>
      <c r="D24" s="4" t="s">
        <v>16</v>
      </c>
      <c r="E24" s="4" t="s">
        <v>2</v>
      </c>
      <c r="F24" s="4" t="s">
        <v>17</v>
      </c>
      <c r="G24" s="4" t="s">
        <v>30</v>
      </c>
      <c r="H24" s="2">
        <v>7.6</v>
      </c>
      <c r="I24" s="2">
        <v>225</v>
      </c>
      <c r="J24" s="2">
        <v>0</v>
      </c>
      <c r="K24" s="2">
        <v>4.4000000000000004</v>
      </c>
      <c r="L24" s="2">
        <v>4.3</v>
      </c>
      <c r="M24" s="2">
        <v>26</v>
      </c>
      <c r="N24" s="4" t="s">
        <v>19</v>
      </c>
    </row>
    <row r="25" spans="1:14" ht="30" x14ac:dyDescent="0.25">
      <c r="A25" s="4" t="s">
        <v>57</v>
      </c>
      <c r="B25" s="5">
        <v>46239</v>
      </c>
      <c r="C25" s="4" t="s">
        <v>15</v>
      </c>
      <c r="D25" s="4" t="s">
        <v>38</v>
      </c>
      <c r="E25" s="4" t="s">
        <v>2</v>
      </c>
      <c r="F25" s="4" t="s">
        <v>22</v>
      </c>
      <c r="G25" s="4" t="s">
        <v>18</v>
      </c>
      <c r="H25" s="2">
        <v>3.2</v>
      </c>
      <c r="I25" s="2">
        <v>80</v>
      </c>
      <c r="J25" s="2">
        <v>5</v>
      </c>
      <c r="K25" s="2">
        <v>4.5</v>
      </c>
      <c r="L25" s="2">
        <v>4.2</v>
      </c>
      <c r="M25" s="2">
        <v>14</v>
      </c>
      <c r="N25" s="4" t="s">
        <v>19</v>
      </c>
    </row>
    <row r="26" spans="1:14" ht="30" x14ac:dyDescent="0.25">
      <c r="A26" s="4" t="s">
        <v>58</v>
      </c>
      <c r="B26" s="5">
        <v>46239</v>
      </c>
      <c r="C26" s="4" t="s">
        <v>21</v>
      </c>
      <c r="D26" s="4" t="s">
        <v>33</v>
      </c>
      <c r="E26" s="4" t="s">
        <v>2</v>
      </c>
      <c r="F26" s="4" t="s">
        <v>34</v>
      </c>
      <c r="G26" s="4" t="s">
        <v>23</v>
      </c>
      <c r="H26" s="2">
        <v>13.7</v>
      </c>
      <c r="I26" s="2">
        <v>525</v>
      </c>
      <c r="J26" s="2">
        <v>45</v>
      </c>
      <c r="K26" s="2">
        <v>4.9000000000000004</v>
      </c>
      <c r="L26" s="2">
        <v>4.9000000000000004</v>
      </c>
      <c r="M26" s="2">
        <v>42</v>
      </c>
      <c r="N26" s="4" t="s">
        <v>19</v>
      </c>
    </row>
    <row r="27" spans="1:14" ht="30" x14ac:dyDescent="0.25">
      <c r="A27" s="4" t="s">
        <v>59</v>
      </c>
      <c r="B27" s="5">
        <v>46239</v>
      </c>
      <c r="C27" s="4" t="s">
        <v>25</v>
      </c>
      <c r="D27" s="4" t="s">
        <v>16</v>
      </c>
      <c r="E27" s="4" t="s">
        <v>2</v>
      </c>
      <c r="F27" s="4" t="s">
        <v>17</v>
      </c>
      <c r="G27" s="4" t="s">
        <v>18</v>
      </c>
      <c r="H27" s="2">
        <v>11.4</v>
      </c>
      <c r="I27" s="2">
        <v>335</v>
      </c>
      <c r="J27" s="2">
        <v>30</v>
      </c>
      <c r="K27" s="2">
        <v>4.8</v>
      </c>
      <c r="L27" s="2">
        <v>4.7</v>
      </c>
      <c r="M27" s="2">
        <v>36</v>
      </c>
      <c r="N27" s="4" t="s">
        <v>19</v>
      </c>
    </row>
    <row r="28" spans="1:14" ht="30" x14ac:dyDescent="0.25">
      <c r="A28" s="4" t="s">
        <v>60</v>
      </c>
      <c r="B28" s="5">
        <v>46239</v>
      </c>
      <c r="C28" s="4" t="s">
        <v>29</v>
      </c>
      <c r="D28" s="4" t="s">
        <v>16</v>
      </c>
      <c r="E28" s="4" t="s">
        <v>2</v>
      </c>
      <c r="F28" s="4" t="s">
        <v>22</v>
      </c>
      <c r="G28" s="4" t="s">
        <v>30</v>
      </c>
      <c r="H28" s="2">
        <v>5.9</v>
      </c>
      <c r="I28" s="2">
        <v>165</v>
      </c>
      <c r="J28" s="2">
        <v>0</v>
      </c>
      <c r="K28" s="2">
        <v>4.3</v>
      </c>
      <c r="L28" s="2">
        <v>4.0999999999999996</v>
      </c>
      <c r="M28" s="2">
        <v>21</v>
      </c>
      <c r="N28" s="4" t="s">
        <v>50</v>
      </c>
    </row>
    <row r="29" spans="1:14" ht="30" x14ac:dyDescent="0.25">
      <c r="A29" s="4" t="s">
        <v>61</v>
      </c>
      <c r="B29" s="5">
        <v>46239</v>
      </c>
      <c r="C29" s="4" t="s">
        <v>32</v>
      </c>
      <c r="D29" s="4" t="s">
        <v>16</v>
      </c>
      <c r="E29" s="4" t="s">
        <v>2</v>
      </c>
      <c r="F29" s="4" t="s">
        <v>17</v>
      </c>
      <c r="G29" s="4" t="s">
        <v>18</v>
      </c>
      <c r="H29" s="2">
        <v>8.1999999999999993</v>
      </c>
      <c r="I29" s="2">
        <v>240</v>
      </c>
      <c r="J29" s="2">
        <v>20</v>
      </c>
      <c r="K29" s="2">
        <v>4.5999999999999996</v>
      </c>
      <c r="L29" s="2">
        <v>4.5</v>
      </c>
      <c r="M29" s="2">
        <v>27</v>
      </c>
      <c r="N29" s="4" t="s">
        <v>19</v>
      </c>
    </row>
    <row r="30" spans="1:14" ht="30" x14ac:dyDescent="0.25">
      <c r="A30" s="4" t="s">
        <v>62</v>
      </c>
      <c r="B30" s="5">
        <v>46240</v>
      </c>
      <c r="C30" s="4" t="s">
        <v>42</v>
      </c>
      <c r="D30" s="4" t="s">
        <v>33</v>
      </c>
      <c r="E30" s="4" t="s">
        <v>27</v>
      </c>
      <c r="F30" s="4" t="s">
        <v>34</v>
      </c>
      <c r="G30" s="4" t="s">
        <v>23</v>
      </c>
      <c r="H30" s="2">
        <v>19.600000000000001</v>
      </c>
      <c r="I30" s="2">
        <v>610</v>
      </c>
      <c r="J30" s="2">
        <v>60</v>
      </c>
      <c r="K30" s="2">
        <v>4.8</v>
      </c>
      <c r="L30" s="2">
        <v>4.8</v>
      </c>
      <c r="M30" s="2">
        <v>47</v>
      </c>
      <c r="N30" s="4" t="s">
        <v>19</v>
      </c>
    </row>
    <row r="31" spans="1:14" ht="30" x14ac:dyDescent="0.25">
      <c r="A31" s="4" t="s">
        <v>63</v>
      </c>
      <c r="B31" s="5">
        <v>46240</v>
      </c>
      <c r="C31" s="4" t="s">
        <v>36</v>
      </c>
      <c r="D31" s="4" t="s">
        <v>38</v>
      </c>
      <c r="E31" s="4" t="s">
        <v>2</v>
      </c>
      <c r="F31" s="4" t="s">
        <v>17</v>
      </c>
      <c r="G31" s="4" t="s">
        <v>18</v>
      </c>
      <c r="H31" s="2">
        <v>4.2</v>
      </c>
      <c r="I31" s="2">
        <v>95</v>
      </c>
      <c r="J31" s="2">
        <v>5</v>
      </c>
      <c r="K31" s="2">
        <v>4.5</v>
      </c>
      <c r="L31" s="2">
        <v>4.4000000000000004</v>
      </c>
      <c r="M31" s="2">
        <v>17</v>
      </c>
      <c r="N31" s="4" t="s">
        <v>19</v>
      </c>
    </row>
    <row r="32" spans="1:14" ht="30" x14ac:dyDescent="0.25">
      <c r="A32" s="4" t="s">
        <v>64</v>
      </c>
      <c r="B32" s="5">
        <v>46240</v>
      </c>
      <c r="C32" s="4" t="s">
        <v>15</v>
      </c>
      <c r="D32" s="4" t="s">
        <v>26</v>
      </c>
      <c r="E32" s="4" t="s">
        <v>27</v>
      </c>
      <c r="F32" s="4" t="s">
        <v>17</v>
      </c>
      <c r="G32" s="4" t="s">
        <v>23</v>
      </c>
      <c r="H32" s="2">
        <v>25.8</v>
      </c>
      <c r="I32" s="2">
        <v>795</v>
      </c>
      <c r="J32" s="2">
        <v>85</v>
      </c>
      <c r="K32" s="2">
        <v>4.9000000000000004</v>
      </c>
      <c r="L32" s="2">
        <v>4.8</v>
      </c>
      <c r="M32" s="2">
        <v>59</v>
      </c>
      <c r="N32" s="4" t="s">
        <v>19</v>
      </c>
    </row>
    <row r="33" spans="1:14" ht="30" x14ac:dyDescent="0.25">
      <c r="A33" s="4" t="s">
        <v>65</v>
      </c>
      <c r="B33" s="5">
        <v>46240</v>
      </c>
      <c r="C33" s="4" t="s">
        <v>21</v>
      </c>
      <c r="D33" s="4" t="s">
        <v>16</v>
      </c>
      <c r="E33" s="4" t="s">
        <v>2</v>
      </c>
      <c r="F33" s="4" t="s">
        <v>22</v>
      </c>
      <c r="G33" s="4" t="s">
        <v>18</v>
      </c>
      <c r="H33" s="2">
        <v>9.1</v>
      </c>
      <c r="I33" s="2">
        <v>270</v>
      </c>
      <c r="J33" s="2">
        <v>30</v>
      </c>
      <c r="K33" s="2">
        <v>4.5999999999999996</v>
      </c>
      <c r="L33" s="2">
        <v>4.5</v>
      </c>
      <c r="M33" s="2">
        <v>30</v>
      </c>
      <c r="N33" s="4" t="s">
        <v>19</v>
      </c>
    </row>
    <row r="34" spans="1:14" ht="30" x14ac:dyDescent="0.25">
      <c r="A34" s="4" t="s">
        <v>66</v>
      </c>
      <c r="B34" s="5">
        <v>46240</v>
      </c>
      <c r="C34" s="4" t="s">
        <v>25</v>
      </c>
      <c r="D34" s="4" t="s">
        <v>16</v>
      </c>
      <c r="E34" s="4" t="s">
        <v>2</v>
      </c>
      <c r="F34" s="4" t="s">
        <v>17</v>
      </c>
      <c r="G34" s="4" t="s">
        <v>30</v>
      </c>
      <c r="H34" s="2">
        <v>6.7</v>
      </c>
      <c r="I34" s="2">
        <v>195</v>
      </c>
      <c r="J34" s="2">
        <v>0</v>
      </c>
      <c r="K34" s="2">
        <v>4.4000000000000004</v>
      </c>
      <c r="L34" s="2">
        <v>4.3</v>
      </c>
      <c r="M34" s="2">
        <v>23</v>
      </c>
      <c r="N34" s="4" t="s">
        <v>19</v>
      </c>
    </row>
    <row r="35" spans="1:14" ht="30" x14ac:dyDescent="0.25">
      <c r="A35" s="4" t="s">
        <v>67</v>
      </c>
      <c r="B35" s="5">
        <v>46241</v>
      </c>
      <c r="C35" s="4" t="s">
        <v>29</v>
      </c>
      <c r="D35" s="4" t="s">
        <v>33</v>
      </c>
      <c r="E35" s="4" t="s">
        <v>2</v>
      </c>
      <c r="F35" s="4" t="s">
        <v>34</v>
      </c>
      <c r="G35" s="4" t="s">
        <v>23</v>
      </c>
      <c r="H35" s="2">
        <v>12.8</v>
      </c>
      <c r="I35" s="2">
        <v>490</v>
      </c>
      <c r="J35" s="2">
        <v>40</v>
      </c>
      <c r="K35" s="2">
        <v>4.9000000000000004</v>
      </c>
      <c r="L35" s="2">
        <v>4.9000000000000004</v>
      </c>
      <c r="M35" s="2">
        <v>39</v>
      </c>
      <c r="N35" s="4" t="s">
        <v>19</v>
      </c>
    </row>
    <row r="36" spans="1:14" ht="30" x14ac:dyDescent="0.25">
      <c r="A36" s="4" t="s">
        <v>68</v>
      </c>
      <c r="B36" s="5">
        <v>46241</v>
      </c>
      <c r="C36" s="4" t="s">
        <v>32</v>
      </c>
      <c r="D36" s="4" t="s">
        <v>16</v>
      </c>
      <c r="E36" s="4" t="s">
        <v>2</v>
      </c>
      <c r="F36" s="4" t="s">
        <v>17</v>
      </c>
      <c r="G36" s="4" t="s">
        <v>18</v>
      </c>
      <c r="H36" s="2">
        <v>7.5</v>
      </c>
      <c r="I36" s="2">
        <v>220</v>
      </c>
      <c r="J36" s="2">
        <v>15</v>
      </c>
      <c r="K36" s="2">
        <v>4.7</v>
      </c>
      <c r="L36" s="2">
        <v>4.5999999999999996</v>
      </c>
      <c r="M36" s="2">
        <v>25</v>
      </c>
      <c r="N36" s="4" t="s">
        <v>19</v>
      </c>
    </row>
    <row r="37" spans="1:14" ht="30" x14ac:dyDescent="0.25">
      <c r="A37" s="4" t="s">
        <v>69</v>
      </c>
      <c r="B37" s="5">
        <v>46241</v>
      </c>
      <c r="C37" s="4" t="s">
        <v>36</v>
      </c>
      <c r="D37" s="4" t="s">
        <v>26</v>
      </c>
      <c r="E37" s="4" t="s">
        <v>27</v>
      </c>
      <c r="F37" s="4" t="s">
        <v>17</v>
      </c>
      <c r="G37" s="4" t="s">
        <v>23</v>
      </c>
      <c r="H37" s="2">
        <v>23.6</v>
      </c>
      <c r="I37" s="2">
        <v>705</v>
      </c>
      <c r="J37" s="2">
        <v>70</v>
      </c>
      <c r="K37" s="2">
        <v>4.8</v>
      </c>
      <c r="L37" s="2">
        <v>4.7</v>
      </c>
      <c r="M37" s="2">
        <v>54</v>
      </c>
      <c r="N37" s="4" t="s">
        <v>19</v>
      </c>
    </row>
    <row r="38" spans="1:14" ht="30" x14ac:dyDescent="0.25">
      <c r="A38" s="4" t="s">
        <v>70</v>
      </c>
      <c r="B38" s="5">
        <v>46241</v>
      </c>
      <c r="C38" s="4" t="s">
        <v>15</v>
      </c>
      <c r="D38" s="4" t="s">
        <v>16</v>
      </c>
      <c r="E38" s="4" t="s">
        <v>2</v>
      </c>
      <c r="F38" s="4" t="s">
        <v>22</v>
      </c>
      <c r="G38" s="4" t="s">
        <v>18</v>
      </c>
      <c r="H38" s="2">
        <v>5.3</v>
      </c>
      <c r="I38" s="2">
        <v>155</v>
      </c>
      <c r="J38" s="2">
        <v>20</v>
      </c>
      <c r="K38" s="2">
        <v>4.5</v>
      </c>
      <c r="L38" s="2">
        <v>4.4000000000000004</v>
      </c>
      <c r="M38" s="2">
        <v>19</v>
      </c>
      <c r="N38" s="4" t="s">
        <v>19</v>
      </c>
    </row>
    <row r="39" spans="1:14" ht="30" x14ac:dyDescent="0.25">
      <c r="A39" s="4" t="s">
        <v>71</v>
      </c>
      <c r="B39" s="5">
        <v>46241</v>
      </c>
      <c r="C39" s="4" t="s">
        <v>21</v>
      </c>
      <c r="D39" s="4" t="s">
        <v>38</v>
      </c>
      <c r="E39" s="4" t="s">
        <v>2</v>
      </c>
      <c r="F39" s="4" t="s">
        <v>17</v>
      </c>
      <c r="G39" s="4" t="s">
        <v>30</v>
      </c>
      <c r="H39" s="2">
        <v>4.7</v>
      </c>
      <c r="I39" s="2">
        <v>110</v>
      </c>
      <c r="J39" s="2">
        <v>0</v>
      </c>
      <c r="K39" s="2">
        <v>4.4000000000000004</v>
      </c>
      <c r="L39" s="2">
        <v>4.2</v>
      </c>
      <c r="M39" s="2">
        <v>18</v>
      </c>
      <c r="N39" s="4" t="s">
        <v>50</v>
      </c>
    </row>
    <row r="40" spans="1:14" ht="30" x14ac:dyDescent="0.25">
      <c r="A40" s="4" t="s">
        <v>72</v>
      </c>
      <c r="B40" s="5">
        <v>46241</v>
      </c>
      <c r="C40" s="4" t="s">
        <v>25</v>
      </c>
      <c r="D40" s="4" t="s">
        <v>16</v>
      </c>
      <c r="E40" s="4" t="s">
        <v>2</v>
      </c>
      <c r="F40" s="4" t="s">
        <v>34</v>
      </c>
      <c r="G40" s="4" t="s">
        <v>23</v>
      </c>
      <c r="H40" s="2">
        <v>10.9</v>
      </c>
      <c r="I40" s="2">
        <v>330</v>
      </c>
      <c r="J40" s="2">
        <v>25</v>
      </c>
      <c r="K40" s="2">
        <v>4.8</v>
      </c>
      <c r="L40" s="2">
        <v>4.7</v>
      </c>
      <c r="M40" s="2">
        <v>35</v>
      </c>
      <c r="N40" s="4" t="s">
        <v>19</v>
      </c>
    </row>
    <row r="41" spans="1:14" ht="30" x14ac:dyDescent="0.25">
      <c r="A41" s="4" t="s">
        <v>73</v>
      </c>
      <c r="B41" s="5">
        <v>46241</v>
      </c>
      <c r="C41" s="4" t="s">
        <v>42</v>
      </c>
      <c r="D41" s="4" t="s">
        <v>16</v>
      </c>
      <c r="E41" s="4" t="s">
        <v>27</v>
      </c>
      <c r="F41" s="4" t="s">
        <v>17</v>
      </c>
      <c r="G41" s="4" t="s">
        <v>18</v>
      </c>
      <c r="H41" s="2">
        <v>16.8</v>
      </c>
      <c r="I41" s="2">
        <v>495</v>
      </c>
      <c r="J41" s="2">
        <v>50</v>
      </c>
      <c r="K41" s="2">
        <v>4.7</v>
      </c>
      <c r="L41" s="2">
        <v>4.5999999999999996</v>
      </c>
      <c r="M41" s="2">
        <v>40</v>
      </c>
      <c r="N41" s="4" t="s">
        <v>19</v>
      </c>
    </row>
    <row r="42" spans="1:14" ht="30" x14ac:dyDescent="0.25">
      <c r="A42" s="4" t="s">
        <v>74</v>
      </c>
      <c r="B42" s="5">
        <v>46242</v>
      </c>
      <c r="C42" s="4" t="s">
        <v>29</v>
      </c>
      <c r="D42" s="4" t="s">
        <v>38</v>
      </c>
      <c r="E42" s="4" t="s">
        <v>2</v>
      </c>
      <c r="F42" s="4" t="s">
        <v>22</v>
      </c>
      <c r="G42" s="4" t="s">
        <v>18</v>
      </c>
      <c r="H42" s="2">
        <v>3.9</v>
      </c>
      <c r="I42" s="2">
        <v>92</v>
      </c>
      <c r="J42" s="2">
        <v>5</v>
      </c>
      <c r="K42" s="2">
        <v>4.5</v>
      </c>
      <c r="L42" s="2">
        <v>4.3</v>
      </c>
      <c r="M42" s="2">
        <v>15</v>
      </c>
      <c r="N42" s="4" t="s">
        <v>19</v>
      </c>
    </row>
    <row r="43" spans="1:14" ht="30" x14ac:dyDescent="0.25">
      <c r="A43" s="4" t="s">
        <v>75</v>
      </c>
      <c r="B43" s="5">
        <v>46242</v>
      </c>
      <c r="C43" s="4" t="s">
        <v>32</v>
      </c>
      <c r="D43" s="4" t="s">
        <v>33</v>
      </c>
      <c r="E43" s="4" t="s">
        <v>2</v>
      </c>
      <c r="F43" s="4" t="s">
        <v>34</v>
      </c>
      <c r="G43" s="4" t="s">
        <v>23</v>
      </c>
      <c r="H43" s="2">
        <v>15.2</v>
      </c>
      <c r="I43" s="2">
        <v>575</v>
      </c>
      <c r="J43" s="2">
        <v>50</v>
      </c>
      <c r="K43" s="2">
        <v>4.9000000000000004</v>
      </c>
      <c r="L43" s="2">
        <v>4.8</v>
      </c>
      <c r="M43" s="2">
        <v>45</v>
      </c>
      <c r="N43" s="4" t="s">
        <v>19</v>
      </c>
    </row>
    <row r="44" spans="1:14" ht="30" x14ac:dyDescent="0.25">
      <c r="A44" s="4" t="s">
        <v>76</v>
      </c>
      <c r="B44" s="5">
        <v>46242</v>
      </c>
      <c r="C44" s="4" t="s">
        <v>36</v>
      </c>
      <c r="D44" s="4" t="s">
        <v>16</v>
      </c>
      <c r="E44" s="4" t="s">
        <v>2</v>
      </c>
      <c r="F44" s="4" t="s">
        <v>17</v>
      </c>
      <c r="G44" s="4" t="s">
        <v>30</v>
      </c>
      <c r="H44" s="2">
        <v>8.8000000000000007</v>
      </c>
      <c r="I44" s="2">
        <v>255</v>
      </c>
      <c r="J44" s="2">
        <v>0</v>
      </c>
      <c r="K44" s="2">
        <v>4.5999999999999996</v>
      </c>
      <c r="L44" s="2">
        <v>4.5</v>
      </c>
      <c r="M44" s="2">
        <v>28</v>
      </c>
      <c r="N44" s="4" t="s">
        <v>19</v>
      </c>
    </row>
    <row r="45" spans="1:14" ht="30" x14ac:dyDescent="0.25">
      <c r="A45" s="4" t="s">
        <v>77</v>
      </c>
      <c r="B45" s="5">
        <v>46242</v>
      </c>
      <c r="C45" s="4" t="s">
        <v>15</v>
      </c>
      <c r="D45" s="4" t="s">
        <v>16</v>
      </c>
      <c r="E45" s="4" t="s">
        <v>2</v>
      </c>
      <c r="F45" s="4" t="s">
        <v>17</v>
      </c>
      <c r="G45" s="4" t="s">
        <v>18</v>
      </c>
      <c r="H45" s="2">
        <v>10.1</v>
      </c>
      <c r="I45" s="2">
        <v>300</v>
      </c>
      <c r="J45" s="2">
        <v>25</v>
      </c>
      <c r="K45" s="2">
        <v>4.8</v>
      </c>
      <c r="L45" s="2">
        <v>4.7</v>
      </c>
      <c r="M45" s="2">
        <v>33</v>
      </c>
      <c r="N45" s="4" t="s">
        <v>19</v>
      </c>
    </row>
    <row r="46" spans="1:14" ht="30" x14ac:dyDescent="0.25">
      <c r="A46" s="4" t="s">
        <v>78</v>
      </c>
      <c r="B46" s="5">
        <v>46242</v>
      </c>
      <c r="C46" s="4" t="s">
        <v>21</v>
      </c>
      <c r="D46" s="4" t="s">
        <v>26</v>
      </c>
      <c r="E46" s="4" t="s">
        <v>27</v>
      </c>
      <c r="F46" s="4" t="s">
        <v>34</v>
      </c>
      <c r="G46" s="4" t="s">
        <v>23</v>
      </c>
      <c r="H46" s="2">
        <v>27.4</v>
      </c>
      <c r="I46" s="2">
        <v>850</v>
      </c>
      <c r="J46" s="2">
        <v>100</v>
      </c>
      <c r="K46" s="2">
        <v>4.9000000000000004</v>
      </c>
      <c r="L46" s="2">
        <v>4.9000000000000004</v>
      </c>
      <c r="M46" s="2">
        <v>64</v>
      </c>
      <c r="N46" s="4" t="s">
        <v>19</v>
      </c>
    </row>
    <row r="47" spans="1:14" ht="30" x14ac:dyDescent="0.25">
      <c r="A47" s="4" t="s">
        <v>79</v>
      </c>
      <c r="B47" s="5">
        <v>46242</v>
      </c>
      <c r="C47" s="4" t="s">
        <v>25</v>
      </c>
      <c r="D47" s="4" t="s">
        <v>38</v>
      </c>
      <c r="E47" s="4" t="s">
        <v>2</v>
      </c>
      <c r="F47" s="4" t="s">
        <v>22</v>
      </c>
      <c r="G47" s="4" t="s">
        <v>30</v>
      </c>
      <c r="H47" s="2">
        <v>4.0999999999999996</v>
      </c>
      <c r="I47" s="2">
        <v>95</v>
      </c>
      <c r="J47" s="2">
        <v>0</v>
      </c>
      <c r="K47" s="2">
        <v>4.2</v>
      </c>
      <c r="L47" s="2">
        <v>4</v>
      </c>
      <c r="M47" s="2">
        <v>17</v>
      </c>
      <c r="N47" s="4" t="s">
        <v>19</v>
      </c>
    </row>
    <row r="48" spans="1:14" ht="30" x14ac:dyDescent="0.25">
      <c r="A48" s="4" t="s">
        <v>80</v>
      </c>
      <c r="B48" s="5">
        <v>46243</v>
      </c>
      <c r="C48" s="4" t="s">
        <v>29</v>
      </c>
      <c r="D48" s="4" t="s">
        <v>16</v>
      </c>
      <c r="E48" s="4" t="s">
        <v>2</v>
      </c>
      <c r="F48" s="4" t="s">
        <v>17</v>
      </c>
      <c r="G48" s="4" t="s">
        <v>18</v>
      </c>
      <c r="H48" s="2">
        <v>7.9</v>
      </c>
      <c r="I48" s="2">
        <v>230</v>
      </c>
      <c r="J48" s="2">
        <v>20</v>
      </c>
      <c r="K48" s="2">
        <v>4.7</v>
      </c>
      <c r="L48" s="2">
        <v>4.5999999999999996</v>
      </c>
      <c r="M48" s="2">
        <v>26</v>
      </c>
      <c r="N48" s="4" t="s">
        <v>19</v>
      </c>
    </row>
    <row r="49" spans="1:14" ht="30" x14ac:dyDescent="0.25">
      <c r="A49" s="4" t="s">
        <v>81</v>
      </c>
      <c r="B49" s="5">
        <v>46243</v>
      </c>
      <c r="C49" s="4" t="s">
        <v>32</v>
      </c>
      <c r="D49" s="4" t="s">
        <v>26</v>
      </c>
      <c r="E49" s="4" t="s">
        <v>27</v>
      </c>
      <c r="F49" s="4" t="s">
        <v>17</v>
      </c>
      <c r="G49" s="4" t="s">
        <v>23</v>
      </c>
      <c r="H49" s="2">
        <v>20.5</v>
      </c>
      <c r="I49" s="2">
        <v>625</v>
      </c>
      <c r="J49" s="2">
        <v>65</v>
      </c>
      <c r="K49" s="2">
        <v>4.8</v>
      </c>
      <c r="L49" s="2">
        <v>4.7</v>
      </c>
      <c r="M49" s="2">
        <v>49</v>
      </c>
      <c r="N49" s="4" t="s">
        <v>19</v>
      </c>
    </row>
    <row r="50" spans="1:14" ht="30" x14ac:dyDescent="0.25">
      <c r="A50" s="4" t="s">
        <v>82</v>
      </c>
      <c r="B50" s="5">
        <v>46243</v>
      </c>
      <c r="C50" s="4" t="s">
        <v>42</v>
      </c>
      <c r="D50" s="4" t="s">
        <v>38</v>
      </c>
      <c r="E50" s="4" t="s">
        <v>2</v>
      </c>
      <c r="F50" s="4" t="s">
        <v>22</v>
      </c>
      <c r="G50" s="4" t="s">
        <v>18</v>
      </c>
      <c r="H50" s="2">
        <v>4.8</v>
      </c>
      <c r="I50" s="2">
        <v>105</v>
      </c>
      <c r="J50" s="2">
        <v>10</v>
      </c>
      <c r="K50" s="2">
        <v>4.5999999999999996</v>
      </c>
      <c r="L50" s="2">
        <v>4.4000000000000004</v>
      </c>
      <c r="M50" s="2">
        <v>18</v>
      </c>
      <c r="N50" s="4" t="s">
        <v>19</v>
      </c>
    </row>
    <row r="51" spans="1:14" ht="30" x14ac:dyDescent="0.25">
      <c r="A51" s="4" t="s">
        <v>83</v>
      </c>
      <c r="B51" s="5">
        <v>46243</v>
      </c>
      <c r="C51" s="4" t="s">
        <v>36</v>
      </c>
      <c r="D51" s="4" t="s">
        <v>16</v>
      </c>
      <c r="E51" s="4" t="s">
        <v>2</v>
      </c>
      <c r="F51" s="4" t="s">
        <v>17</v>
      </c>
      <c r="G51" s="4" t="s">
        <v>18</v>
      </c>
      <c r="H51" s="2">
        <v>9.6</v>
      </c>
      <c r="I51" s="2">
        <v>285</v>
      </c>
      <c r="J51" s="2">
        <v>25</v>
      </c>
      <c r="K51" s="2">
        <v>4.7</v>
      </c>
      <c r="L51" s="2">
        <v>4.5999999999999996</v>
      </c>
      <c r="M51" s="2">
        <v>32</v>
      </c>
      <c r="N5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CONTENTS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user</cp:lastModifiedBy>
  <dcterms:created xsi:type="dcterms:W3CDTF">2026-08-10T04:14:19Z</dcterms:created>
  <dcterms:modified xsi:type="dcterms:W3CDTF">2026-08-12T09:38:48Z</dcterms:modified>
</cp:coreProperties>
</file>