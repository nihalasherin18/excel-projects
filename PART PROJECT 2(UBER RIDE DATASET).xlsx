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F36D884B-ECFE-4D4E-A977-AD4450099998}" xr6:coauthVersionLast="47" xr6:coauthVersionMax="47" xr10:uidLastSave="{00000000-0000-0000-0000-000000000000}"/>
  <bookViews>
    <workbookView xWindow="-120" yWindow="-120" windowWidth="20730" windowHeight="11160" xr2:uid="{6E8D716A-CC3D-47EE-B9C5-99AF7377E2B0}"/>
  </bookViews>
  <sheets>
    <sheet name="DASHBOARD" sheetId="1" r:id="rId1"/>
    <sheet name="CONTENTS" sheetId="2" r:id="rId2"/>
    <sheet name="Sheet1" sheetId="3" r:id="rId3"/>
    <sheet name="Sheet2" sheetId="4" r:id="rId4"/>
  </sheets>
  <definedNames>
    <definedName name="Slicer_City">#N/A</definedName>
    <definedName name="Slicer_Date">#N/A</definedName>
    <definedName name="Slicer_Vehicle_Type">#N/A</definedName>
  </definedNames>
  <calcPr calcId="191029"/>
  <pivotCaches>
    <pivotCache cacheId="3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2" l="1"/>
  <c r="D6" i="2"/>
  <c r="D5" i="2"/>
  <c r="D4" i="2"/>
  <c r="D3" i="2"/>
</calcChain>
</file>

<file path=xl/sharedStrings.xml><?xml version="1.0" encoding="utf-8"?>
<sst xmlns="http://schemas.openxmlformats.org/spreadsheetml/2006/main" count="452" uniqueCount="123">
  <si>
    <t>Ride_ID</t>
  </si>
  <si>
    <t>Date</t>
  </si>
  <si>
    <t>City</t>
  </si>
  <si>
    <t>Vehicle_Type</t>
  </si>
  <si>
    <t>Trip_Type</t>
  </si>
  <si>
    <t>Customer_Type</t>
  </si>
  <si>
    <t>Payment_Mode</t>
  </si>
  <si>
    <t>Distance_KM</t>
  </si>
  <si>
    <t>Fare_INR</t>
  </si>
  <si>
    <t>Discount_INR</t>
  </si>
  <si>
    <t>Driver_Rating</t>
  </si>
  <si>
    <t>Customer_Rating</t>
  </si>
  <si>
    <t>Trip_Duration_Min</t>
  </si>
  <si>
    <t>Status</t>
  </si>
  <si>
    <t>UBR001</t>
  </si>
  <si>
    <t>Bengaluru</t>
  </si>
  <si>
    <t>UberGo</t>
  </si>
  <si>
    <t>Regular</t>
  </si>
  <si>
    <t>UPI</t>
  </si>
  <si>
    <t>Completed</t>
  </si>
  <si>
    <t>UBR002</t>
  </si>
  <si>
    <t>Mumbai</t>
  </si>
  <si>
    <t>New</t>
  </si>
  <si>
    <t>Card</t>
  </si>
  <si>
    <t>UBR003</t>
  </si>
  <si>
    <t>Delhi</t>
  </si>
  <si>
    <t>UberXL</t>
  </si>
  <si>
    <t>Airport</t>
  </si>
  <si>
    <t>UBR004</t>
  </si>
  <si>
    <t>Hyderabad</t>
  </si>
  <si>
    <t>Cash</t>
  </si>
  <si>
    <t>UBR005</t>
  </si>
  <si>
    <t>Chennai</t>
  </si>
  <si>
    <t>Premier</t>
  </si>
  <si>
    <t>Premium</t>
  </si>
  <si>
    <t>UBR006</t>
  </si>
  <si>
    <t>Pune</t>
  </si>
  <si>
    <t>UBR007</t>
  </si>
  <si>
    <t>Auto</t>
  </si>
  <si>
    <t>UBR008</t>
  </si>
  <si>
    <t>UBR009</t>
  </si>
  <si>
    <t>UBR010</t>
  </si>
  <si>
    <t>Kochi</t>
  </si>
  <si>
    <t>UBR011</t>
  </si>
  <si>
    <t>UBR012</t>
  </si>
  <si>
    <t>UBR013</t>
  </si>
  <si>
    <t>UBR014</t>
  </si>
  <si>
    <t>UBR015</t>
  </si>
  <si>
    <t>UBR016</t>
  </si>
  <si>
    <t>UBR017</t>
  </si>
  <si>
    <t>Cancelled</t>
  </si>
  <si>
    <t>UBR018</t>
  </si>
  <si>
    <t>UBR019</t>
  </si>
  <si>
    <t>UBR020</t>
  </si>
  <si>
    <t>UBR021</t>
  </si>
  <si>
    <t>UBR022</t>
  </si>
  <si>
    <t>UBR023</t>
  </si>
  <si>
    <t>UBR024</t>
  </si>
  <si>
    <t>UBR025</t>
  </si>
  <si>
    <t>UBR026</t>
  </si>
  <si>
    <t>UBR027</t>
  </si>
  <si>
    <t>UBR028</t>
  </si>
  <si>
    <t>UBR029</t>
  </si>
  <si>
    <t>UBR030</t>
  </si>
  <si>
    <t>UBR031</t>
  </si>
  <si>
    <t>UBR032</t>
  </si>
  <si>
    <t>UBR033</t>
  </si>
  <si>
    <t>UBR034</t>
  </si>
  <si>
    <t>UBR035</t>
  </si>
  <si>
    <t>UBR036</t>
  </si>
  <si>
    <t>UBR037</t>
  </si>
  <si>
    <t>UBR038</t>
  </si>
  <si>
    <t>UBR039</t>
  </si>
  <si>
    <t>UBR040</t>
  </si>
  <si>
    <t>UBR041</t>
  </si>
  <si>
    <t>UBR042</t>
  </si>
  <si>
    <t>UBR043</t>
  </si>
  <si>
    <t>UBR044</t>
  </si>
  <si>
    <t>UBR045</t>
  </si>
  <si>
    <t>UBR046</t>
  </si>
  <si>
    <t>UBR047</t>
  </si>
  <si>
    <t>UBR048</t>
  </si>
  <si>
    <t>UBR049</t>
  </si>
  <si>
    <t>UBR050</t>
  </si>
  <si>
    <t>KPI</t>
  </si>
  <si>
    <t>Calculation</t>
  </si>
  <si>
    <t>Total Rides</t>
  </si>
  <si>
    <t>Count of Ride_ID</t>
  </si>
  <si>
    <t>Completed Rides</t>
  </si>
  <si>
    <t>Count where Status = Completed</t>
  </si>
  <si>
    <t>Total Revenue</t>
  </si>
  <si>
    <t>Sum of Fare_INR</t>
  </si>
  <si>
    <t>Average Fare</t>
  </si>
  <si>
    <t>Average of Fare_INR</t>
  </si>
  <si>
    <t>Average Customer Rating</t>
  </si>
  <si>
    <t>Average of Customer_Rating</t>
  </si>
  <si>
    <t>Chart</t>
  </si>
  <si>
    <t>Fields</t>
  </si>
  <si>
    <t>Revenue by City</t>
  </si>
  <si>
    <t>City + Fare</t>
  </si>
  <si>
    <t>Rides by Vehicle Type</t>
  </si>
  <si>
    <t>Vehicle_Type + Count of Ride_ID</t>
  </si>
  <si>
    <t>Daily Revenue Trend</t>
  </si>
  <si>
    <t>Date + Fare</t>
  </si>
  <si>
    <t>Payment Mode Distribution</t>
  </si>
  <si>
    <t>Payment_Mode + Count of Ride_ID</t>
  </si>
  <si>
    <t>Revenue by Trip Type</t>
  </si>
  <si>
    <t>Trip_Type + Fare</t>
  </si>
  <si>
    <t>Customer Type Distribution</t>
  </si>
  <si>
    <t>Customer_Type + Count of Ride_ID</t>
  </si>
  <si>
    <t>Average Rating by Vehicle</t>
  </si>
  <si>
    <t>Vehicle_Type + Customer_Rating</t>
  </si>
  <si>
    <t>Completed vs Cancelled</t>
  </si>
  <si>
    <t>Status + Count of Ride_ID</t>
  </si>
  <si>
    <t>Recommended Slicers</t>
  </si>
  <si>
    <t>Vehicle Type</t>
  </si>
  <si>
    <t>Trip Type</t>
  </si>
  <si>
    <t>Customer Type</t>
  </si>
  <si>
    <t>Payment Mode</t>
  </si>
  <si>
    <t>Column1</t>
  </si>
  <si>
    <t>Row Labels</t>
  </si>
  <si>
    <t>Grand Total</t>
  </si>
  <si>
    <t>Sum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</si>
</sst>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5" fontId="0" fillId="0" borderId="0" xfId="0" applyNumberFormat="1" applyAlignment="1">
      <alignment vertical="center" wrapText="1"/>
    </xf>
    <xf numFmtId="0" fontId="2" fillId="2" borderId="1" xfId="0" applyFont="1" applyFill="1" applyBorder="1" applyAlignment="1">
      <alignment vertical="center"/>
    </xf>
    <xf numFmtId="0" fontId="0" fillId="2" borderId="1" xfId="0" applyFill="1" applyBorder="1" applyAlignment="1">
      <alignment horizontal="left" vertical="center" inden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0" borderId="0" xfId="0" pivotButton="1"/>
    <xf numFmtId="0" fontId="0" fillId="0" borderId="0" xfId="0" applyAlignment="1">
      <alignment horizontal="left"/>
    </xf>
    <xf numFmtId="15" fontId="0" fillId="0" borderId="0" xfId="0" applyNumberFormat="1" applyAlignment="1">
      <alignment horizontal="left"/>
    </xf>
    <xf numFmtId="0" fontId="0" fillId="0" borderId="0" xfId="0" applyNumberFormat="1"/>
  </cellXfs>
  <cellStyles count="1">
    <cellStyle name="Normal" xfId="0" builtinId="0"/>
  </cellStyles>
  <dxfs count="16">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64" formatCode="dd/mmm/yy"/>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[PART PROJECT 2(UBER RIDE DATASET).xlsx]Sheet1!PivotTable2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Sheet1!$A$2:$A$9</c:f>
              <c:strCache>
                <c:ptCount val="7"/>
                <c:pt idx="0">
                  <c:v>Bengaluru</c:v>
                </c:pt>
                <c:pt idx="1">
                  <c:v>Chennai</c:v>
                </c:pt>
                <c:pt idx="2">
                  <c:v>Delhi</c:v>
                </c:pt>
                <c:pt idx="3">
                  <c:v>Hyderabad</c:v>
                </c:pt>
                <c:pt idx="4">
                  <c:v>Kochi</c:v>
                </c:pt>
                <c:pt idx="5">
                  <c:v>Mumbai</c:v>
                </c:pt>
                <c:pt idx="6">
                  <c:v>Pune</c:v>
                </c:pt>
              </c:strCache>
            </c:strRef>
          </c:cat>
          <c:val>
            <c:numRef>
              <c:f>Sheet1!$B$2:$B$9</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9E4E-4746-B834-5EA7C84C6A94}"/>
            </c:ext>
          </c:extLst>
        </c:ser>
        <c:dLbls>
          <c:showLegendKey val="0"/>
          <c:showVal val="0"/>
          <c:showCatName val="0"/>
          <c:showSerName val="0"/>
          <c:showPercent val="0"/>
          <c:showBubbleSize val="0"/>
        </c:dLbls>
        <c:gapWidth val="150"/>
        <c:shape val="box"/>
        <c:axId val="1187724063"/>
        <c:axId val="1111721599"/>
        <c:axId val="0"/>
      </c:bar3DChart>
      <c:catAx>
        <c:axId val="1187724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721599"/>
        <c:crosses val="autoZero"/>
        <c:auto val="1"/>
        <c:lblAlgn val="ctr"/>
        <c:lblOffset val="100"/>
        <c:noMultiLvlLbl val="0"/>
      </c:catAx>
      <c:valAx>
        <c:axId val="11117215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72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 PROJECT 2(UBER RIDE DATASET).xlsx]Sheet1!PivotTable4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s>
    <c:plotArea>
      <c:layout/>
      <c:doughnutChart>
        <c:varyColors val="1"/>
        <c:ser>
          <c:idx val="0"/>
          <c:order val="0"/>
          <c:tx>
            <c:strRef>
              <c:f>Sheet1!$E$1</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1AD8-4C57-AB61-01547F93D322}"/>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1AD8-4C57-AB61-01547F93D322}"/>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1AD8-4C57-AB61-01547F93D322}"/>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1AD8-4C57-AB61-01547F93D322}"/>
              </c:ext>
            </c:extLst>
          </c:dPt>
          <c:cat>
            <c:strRef>
              <c:f>Sheet1!$D$2:$D$6</c:f>
              <c:strCache>
                <c:ptCount val="4"/>
                <c:pt idx="0">
                  <c:v>Auto</c:v>
                </c:pt>
                <c:pt idx="1">
                  <c:v>Premier</c:v>
                </c:pt>
                <c:pt idx="2">
                  <c:v>UberGo</c:v>
                </c:pt>
                <c:pt idx="3">
                  <c:v>UberXL</c:v>
                </c:pt>
              </c:strCache>
            </c:strRef>
          </c:cat>
          <c:val>
            <c:numRef>
              <c:f>Sheet1!$E$2:$E$6</c:f>
              <c:numCache>
                <c:formatCode>General</c:formatCode>
                <c:ptCount val="4"/>
                <c:pt idx="0">
                  <c:v>9</c:v>
                </c:pt>
                <c:pt idx="1">
                  <c:v>8</c:v>
                </c:pt>
                <c:pt idx="2">
                  <c:v>25</c:v>
                </c:pt>
                <c:pt idx="3">
                  <c:v>8</c:v>
                </c:pt>
              </c:numCache>
            </c:numRef>
          </c:val>
          <c:extLst>
            <c:ext xmlns:c16="http://schemas.microsoft.com/office/drawing/2014/chart" uri="{C3380CC4-5D6E-409C-BE32-E72D297353CC}">
              <c16:uniqueId val="{00000000-AC75-4F75-B0DF-D8A872FB25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PROJECT 2(UBER RIDE DATASET).xlsx]Sheet1!PivotTable7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Sheet1!$G$2:$G$11</c:f>
              <c:strCache>
                <c:ptCount val="9"/>
                <c:pt idx="0">
                  <c:v>1-Aug-26</c:v>
                </c:pt>
                <c:pt idx="1">
                  <c:v>2-Aug-26</c:v>
                </c:pt>
                <c:pt idx="2">
                  <c:v>3-Aug-26</c:v>
                </c:pt>
                <c:pt idx="3">
                  <c:v>4-Aug-26</c:v>
                </c:pt>
                <c:pt idx="4">
                  <c:v>5-Aug-26</c:v>
                </c:pt>
                <c:pt idx="5">
                  <c:v>6-Aug-26</c:v>
                </c:pt>
                <c:pt idx="6">
                  <c:v>7-Aug-26</c:v>
                </c:pt>
                <c:pt idx="7">
                  <c:v>8-Aug-26</c:v>
                </c:pt>
                <c:pt idx="8">
                  <c:v>9-Aug-26</c:v>
                </c:pt>
              </c:strCache>
            </c:strRef>
          </c:cat>
          <c:val>
            <c:numRef>
              <c:f>Sheet1!$H$2:$H$11</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273D-4942-82D5-3E843319C888}"/>
            </c:ext>
          </c:extLst>
        </c:ser>
        <c:dLbls>
          <c:dLblPos val="ctr"/>
          <c:showLegendKey val="0"/>
          <c:showVal val="1"/>
          <c:showCatName val="0"/>
          <c:showSerName val="0"/>
          <c:showPercent val="0"/>
          <c:showBubbleSize val="0"/>
        </c:dLbls>
        <c:marker val="1"/>
        <c:smooth val="0"/>
        <c:axId val="1238853055"/>
        <c:axId val="1111696639"/>
      </c:lineChart>
      <c:catAx>
        <c:axId val="1238853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11696639"/>
        <c:crosses val="autoZero"/>
        <c:auto val="1"/>
        <c:lblAlgn val="ctr"/>
        <c:lblOffset val="100"/>
        <c:noMultiLvlLbl val="0"/>
      </c:catAx>
      <c:valAx>
        <c:axId val="1111696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388530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dk1">
          <a:lumMod val="25000"/>
          <a:lumOff val="7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[PART PROJECT 2(UBER RIDE DATASET).xlsx]Sheet1!PivotTable9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Sheet1!$K$1</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02-49AD-8700-A4B024561A93}"/>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02-49AD-8700-A4B024561A93}"/>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02-49AD-8700-A4B024561A93}"/>
              </c:ext>
            </c:extLst>
          </c:dPt>
          <c:cat>
            <c:strRef>
              <c:f>Sheet1!$J$2:$J$5</c:f>
              <c:strCache>
                <c:ptCount val="3"/>
                <c:pt idx="0">
                  <c:v>Card</c:v>
                </c:pt>
                <c:pt idx="1">
                  <c:v>Cash</c:v>
                </c:pt>
                <c:pt idx="2">
                  <c:v>UPI</c:v>
                </c:pt>
              </c:strCache>
            </c:strRef>
          </c:cat>
          <c:val>
            <c:numRef>
              <c:f>Sheet1!$K$2:$K$5</c:f>
              <c:numCache>
                <c:formatCode>General</c:formatCode>
                <c:ptCount val="3"/>
                <c:pt idx="0">
                  <c:v>17</c:v>
                </c:pt>
                <c:pt idx="1">
                  <c:v>10</c:v>
                </c:pt>
                <c:pt idx="2">
                  <c:v>23</c:v>
                </c:pt>
              </c:numCache>
            </c:numRef>
          </c:val>
          <c:extLst>
            <c:ext xmlns:c16="http://schemas.microsoft.com/office/drawing/2014/chart" uri="{C3380CC4-5D6E-409C-BE32-E72D297353CC}">
              <c16:uniqueId val="{00000000-5FE9-4695-911C-B459C251E3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 PROJECT 2(UBER RIDE DATASET).xlsx]Sheet1!PivotTable10</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Sheet1!$N$1</c:f>
              <c:strCache>
                <c:ptCount val="1"/>
                <c:pt idx="0">
                  <c:v>Total</c:v>
                </c:pt>
              </c:strCache>
            </c:strRef>
          </c:tx>
          <c:dPt>
            <c:idx val="0"/>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1C-4813-8679-AE3CC401BC31}"/>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1C-4813-8679-AE3CC401BC31}"/>
              </c:ext>
            </c:extLst>
          </c:dPt>
          <c:cat>
            <c:strRef>
              <c:f>Sheet1!$M$2:$M$4</c:f>
              <c:strCache>
                <c:ptCount val="2"/>
                <c:pt idx="0">
                  <c:v>Airport</c:v>
                </c:pt>
                <c:pt idx="1">
                  <c:v>City</c:v>
                </c:pt>
              </c:strCache>
            </c:strRef>
          </c:cat>
          <c:val>
            <c:numRef>
              <c:f>Sheet1!$N$2:$N$4</c:f>
              <c:numCache>
                <c:formatCode>General</c:formatCode>
                <c:ptCount val="2"/>
                <c:pt idx="0">
                  <c:v>8400</c:v>
                </c:pt>
                <c:pt idx="1">
                  <c:v>9642</c:v>
                </c:pt>
              </c:numCache>
            </c:numRef>
          </c:val>
          <c:extLst>
            <c:ext xmlns:c16="http://schemas.microsoft.com/office/drawing/2014/chart" uri="{C3380CC4-5D6E-409C-BE32-E72D297353CC}">
              <c16:uniqueId val="{00000000-3ED0-4530-AE72-3302A3BCE45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[PART PROJECT 2(UBER RIDE DATASET).xlsx]Sheet1!PivotTable11</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dk1">
                <a:tint val="88500"/>
              </a:schemeClr>
            </a:fgClr>
            <a:bgClr>
              <a:schemeClr val="dk1">
                <a:tint val="88500"/>
                <a:lumMod val="20000"/>
                <a:lumOff val="80000"/>
              </a:schemeClr>
            </a:bgClr>
          </a:pattFill>
          <a:ln>
            <a:solidFill>
              <a:schemeClr val="dk1">
                <a:tint val="88500"/>
              </a:schemeClr>
            </a:solidFill>
          </a:ln>
          <a:effectLst/>
          <a:sp3d>
            <a:contourClr>
              <a:schemeClr val="dk1">
                <a:tint val="885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Sheet1!$Q$1</c:f>
              <c:strCache>
                <c:ptCount val="1"/>
                <c:pt idx="0">
                  <c:v>Total</c:v>
                </c:pt>
              </c:strCache>
            </c:strRef>
          </c:tx>
          <c:spPr>
            <a:pattFill prst="ltDnDiag">
              <a:fgClr>
                <a:schemeClr val="dk1">
                  <a:tint val="88500"/>
                </a:schemeClr>
              </a:fgClr>
              <a:bgClr>
                <a:schemeClr val="dk1">
                  <a:tint val="88500"/>
                  <a:lumMod val="20000"/>
                  <a:lumOff val="80000"/>
                </a:schemeClr>
              </a:bgClr>
            </a:pattFill>
            <a:ln>
              <a:solidFill>
                <a:schemeClr val="dk1">
                  <a:tint val="88500"/>
                </a:schemeClr>
              </a:solidFill>
            </a:ln>
            <a:effectLst/>
            <a:sp3d>
              <a:contourClr>
                <a:schemeClr val="dk1">
                  <a:tint val="88500"/>
                </a:schemeClr>
              </a:contourClr>
            </a:sp3d>
          </c:spPr>
          <c:invertIfNegative val="0"/>
          <c:cat>
            <c:strRef>
              <c:f>Sheet1!$P$2:$P$5</c:f>
              <c:strCache>
                <c:ptCount val="3"/>
                <c:pt idx="0">
                  <c:v>New</c:v>
                </c:pt>
                <c:pt idx="1">
                  <c:v>Premium</c:v>
                </c:pt>
                <c:pt idx="2">
                  <c:v>Regular</c:v>
                </c:pt>
              </c:strCache>
            </c:strRef>
          </c:cat>
          <c:val>
            <c:numRef>
              <c:f>Sheet1!$Q$2:$Q$5</c:f>
              <c:numCache>
                <c:formatCode>General</c:formatCode>
                <c:ptCount val="3"/>
                <c:pt idx="0">
                  <c:v>13</c:v>
                </c:pt>
                <c:pt idx="1">
                  <c:v>11</c:v>
                </c:pt>
                <c:pt idx="2">
                  <c:v>26</c:v>
                </c:pt>
              </c:numCache>
            </c:numRef>
          </c:val>
          <c:extLst>
            <c:ext xmlns:c16="http://schemas.microsoft.com/office/drawing/2014/chart" uri="{C3380CC4-5D6E-409C-BE32-E72D297353CC}">
              <c16:uniqueId val="{00000000-002A-4C30-9D8E-9F98B1A0D011}"/>
            </c:ext>
          </c:extLst>
        </c:ser>
        <c:dLbls>
          <c:showLegendKey val="0"/>
          <c:showVal val="0"/>
          <c:showCatName val="0"/>
          <c:showSerName val="0"/>
          <c:showPercent val="0"/>
          <c:showBubbleSize val="0"/>
        </c:dLbls>
        <c:gapWidth val="150"/>
        <c:shape val="box"/>
        <c:axId val="1344229327"/>
        <c:axId val="1076339679"/>
        <c:axId val="0"/>
      </c:bar3DChart>
      <c:catAx>
        <c:axId val="134422932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339679"/>
        <c:crosses val="autoZero"/>
        <c:auto val="1"/>
        <c:lblAlgn val="ctr"/>
        <c:lblOffset val="100"/>
        <c:noMultiLvlLbl val="0"/>
      </c:catAx>
      <c:valAx>
        <c:axId val="107633967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2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[PART PROJECT 2(UBER RIDE DATASET).xlsx]Sheet1!PivotTable12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Sheet1!$T$1</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Sheet1!$S$2:$S$6</c:f>
              <c:strCache>
                <c:ptCount val="4"/>
                <c:pt idx="0">
                  <c:v>Auto</c:v>
                </c:pt>
                <c:pt idx="1">
                  <c:v>Premier</c:v>
                </c:pt>
                <c:pt idx="2">
                  <c:v>UberGo</c:v>
                </c:pt>
                <c:pt idx="3">
                  <c:v>UberXL</c:v>
                </c:pt>
              </c:strCache>
            </c:strRef>
          </c:cat>
          <c:val>
            <c:numRef>
              <c:f>Sheet1!$T$2:$T$6</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0-43B8-4D0E-BF48-F4DDC2E619A6}"/>
            </c:ext>
          </c:extLst>
        </c:ser>
        <c:dLbls>
          <c:showLegendKey val="0"/>
          <c:showVal val="0"/>
          <c:showCatName val="0"/>
          <c:showSerName val="0"/>
          <c:showPercent val="0"/>
          <c:showBubbleSize val="0"/>
        </c:dLbls>
        <c:gapWidth val="150"/>
        <c:shape val="box"/>
        <c:axId val="1336786815"/>
        <c:axId val="1111714399"/>
        <c:axId val="0"/>
      </c:bar3DChart>
      <c:catAx>
        <c:axId val="133678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714399"/>
        <c:crosses val="autoZero"/>
        <c:auto val="1"/>
        <c:lblAlgn val="ctr"/>
        <c:lblOffset val="100"/>
        <c:noMultiLvlLbl val="0"/>
      </c:catAx>
      <c:valAx>
        <c:axId val="111171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8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[PART PROJECT 2(UBER RIDE DATASET).xlsx]Sheet1!PivotTable13</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6791447944006996"/>
          <c:w val="0.76242563429571308"/>
          <c:h val="0.68578922426363376"/>
        </c:manualLayout>
      </c:layout>
      <c:pie3DChart>
        <c:varyColors val="1"/>
        <c:ser>
          <c:idx val="0"/>
          <c:order val="0"/>
          <c:tx>
            <c:strRef>
              <c:f>Sheet1!$W$1</c:f>
              <c:strCache>
                <c:ptCount val="1"/>
                <c:pt idx="0">
                  <c:v>Total</c:v>
                </c:pt>
              </c:strCache>
            </c:strRef>
          </c:tx>
          <c:dPt>
            <c:idx val="0"/>
            <c:bubble3D val="0"/>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D5F7-473D-A8B4-2A0A1F6262E2}"/>
              </c:ext>
            </c:extLst>
          </c:dPt>
          <c:dPt>
            <c:idx val="1"/>
            <c:bubble3D val="0"/>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D5F7-473D-A8B4-2A0A1F6262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Sheet1!$V$2:$V$4</c:f>
              <c:strCache>
                <c:ptCount val="2"/>
                <c:pt idx="0">
                  <c:v>Cancelled</c:v>
                </c:pt>
                <c:pt idx="1">
                  <c:v>Completed</c:v>
                </c:pt>
              </c:strCache>
            </c:strRef>
          </c:cat>
          <c:val>
            <c:numRef>
              <c:f>Sheet1!$W$2:$W$4</c:f>
              <c:numCache>
                <c:formatCode>General</c:formatCode>
                <c:ptCount val="2"/>
                <c:pt idx="0">
                  <c:v>3</c:v>
                </c:pt>
                <c:pt idx="1">
                  <c:v>47</c:v>
                </c:pt>
              </c:numCache>
            </c:numRef>
          </c:val>
          <c:extLst>
            <c:ext xmlns:c16="http://schemas.microsoft.com/office/drawing/2014/chart" uri="{C3380CC4-5D6E-409C-BE32-E72D297353CC}">
              <c16:uniqueId val="{00000000-FBA5-4A2F-89A7-76B98DEC80AB}"/>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dk1">
          <a:lumMod val="15000"/>
          <a:lumOff val="85000"/>
        </a:schemeClr>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[PART PROJECT 2(UBER RIDE DATASET).xlsx]Sheet1!PivotTable2</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Sheet1!$A$2:$A$9</c:f>
              <c:strCache>
                <c:ptCount val="7"/>
                <c:pt idx="0">
                  <c:v>Bengaluru</c:v>
                </c:pt>
                <c:pt idx="1">
                  <c:v>Chennai</c:v>
                </c:pt>
                <c:pt idx="2">
                  <c:v>Delhi</c:v>
                </c:pt>
                <c:pt idx="3">
                  <c:v>Hyderabad</c:v>
                </c:pt>
                <c:pt idx="4">
                  <c:v>Kochi</c:v>
                </c:pt>
                <c:pt idx="5">
                  <c:v>Mumbai</c:v>
                </c:pt>
                <c:pt idx="6">
                  <c:v>Pune</c:v>
                </c:pt>
              </c:strCache>
            </c:strRef>
          </c:cat>
          <c:val>
            <c:numRef>
              <c:f>Sheet1!$B$2:$B$9</c:f>
              <c:numCache>
                <c:formatCode>General</c:formatCode>
                <c:ptCount val="7"/>
                <c:pt idx="0">
                  <c:v>2425</c:v>
                </c:pt>
                <c:pt idx="1">
                  <c:v>2980</c:v>
                </c:pt>
                <c:pt idx="2">
                  <c:v>2895</c:v>
                </c:pt>
                <c:pt idx="3">
                  <c:v>2122</c:v>
                </c:pt>
                <c:pt idx="4">
                  <c:v>1865</c:v>
                </c:pt>
                <c:pt idx="5">
                  <c:v>3525</c:v>
                </c:pt>
                <c:pt idx="6">
                  <c:v>2230</c:v>
                </c:pt>
              </c:numCache>
            </c:numRef>
          </c:val>
          <c:extLst>
            <c:ext xmlns:c16="http://schemas.microsoft.com/office/drawing/2014/chart" uri="{C3380CC4-5D6E-409C-BE32-E72D297353CC}">
              <c16:uniqueId val="{00000000-FE35-4667-9F4D-269EED3E891C}"/>
            </c:ext>
          </c:extLst>
        </c:ser>
        <c:dLbls>
          <c:showLegendKey val="0"/>
          <c:showVal val="0"/>
          <c:showCatName val="0"/>
          <c:showSerName val="0"/>
          <c:showPercent val="0"/>
          <c:showBubbleSize val="0"/>
        </c:dLbls>
        <c:gapWidth val="150"/>
        <c:shape val="box"/>
        <c:axId val="1187724063"/>
        <c:axId val="1111721599"/>
        <c:axId val="0"/>
      </c:bar3DChart>
      <c:catAx>
        <c:axId val="1187724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721599"/>
        <c:crosses val="autoZero"/>
        <c:auto val="1"/>
        <c:lblAlgn val="ctr"/>
        <c:lblOffset val="100"/>
        <c:noMultiLvlLbl val="0"/>
      </c:catAx>
      <c:valAx>
        <c:axId val="11117215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72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 PROJECT 2(UBER RIDE DATASET).xlsx]Sheet1!PivotTable4</c:name>
    <c:fmtId val="10"/>
  </c:pivotSource>
  <c:chart>
    <c:title>
      <c:tx>
        <c:rich>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RIDES BY VEHICLE TYPE</a:t>
            </a:r>
          </a:p>
        </c:rich>
      </c:tx>
      <c:overlay val="0"/>
      <c:spPr>
        <a:noFill/>
        <a:ln>
          <a:noFill/>
        </a:ln>
        <a:effectLst/>
      </c:spPr>
      <c:txPr>
        <a:bodyPr rot="0" spcFirstLastPara="1" vertOverflow="ellipsis" vert="horz" wrap="square" anchor="ctr" anchorCtr="1"/>
        <a:lstStyle/>
        <a:p>
          <a:pPr>
            <a:defRPr sz="14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hade val="58000"/>
            </a:schemeClr>
          </a:solidFill>
          <a:ln w="19050">
            <a:solidFill>
              <a:schemeClr val="lt1"/>
            </a:solidFill>
          </a:ln>
          <a:effectLst/>
        </c:spPr>
      </c:pivotFmt>
      <c:pivotFmt>
        <c:idx val="2"/>
        <c:spPr>
          <a:solidFill>
            <a:schemeClr val="accent4">
              <a:shade val="86000"/>
            </a:schemeClr>
          </a:solidFill>
          <a:ln w="19050">
            <a:solidFill>
              <a:schemeClr val="lt1"/>
            </a:solidFill>
          </a:ln>
          <a:effectLst/>
        </c:spPr>
      </c:pivotFmt>
      <c:pivotFmt>
        <c:idx val="3"/>
        <c:spPr>
          <a:solidFill>
            <a:schemeClr val="accent4">
              <a:tint val="86000"/>
            </a:schemeClr>
          </a:solidFill>
          <a:ln w="19050">
            <a:solidFill>
              <a:schemeClr val="lt1"/>
            </a:solidFill>
          </a:ln>
          <a:effectLst/>
        </c:spPr>
      </c:pivotFmt>
      <c:pivotFmt>
        <c:idx val="4"/>
        <c:spPr>
          <a:solidFill>
            <a:schemeClr val="accent4">
              <a:tint val="58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hade val="58000"/>
            </a:schemeClr>
          </a:solidFill>
          <a:ln w="19050">
            <a:solidFill>
              <a:schemeClr val="lt1"/>
            </a:solidFill>
          </a:ln>
          <a:effectLst/>
        </c:spPr>
      </c:pivotFmt>
      <c:pivotFmt>
        <c:idx val="7"/>
        <c:spPr>
          <a:solidFill>
            <a:schemeClr val="accent4">
              <a:shade val="86000"/>
            </a:schemeClr>
          </a:solidFill>
          <a:ln w="19050">
            <a:solidFill>
              <a:schemeClr val="lt1"/>
            </a:solidFill>
          </a:ln>
          <a:effectLst/>
        </c:spPr>
      </c:pivotFmt>
      <c:pivotFmt>
        <c:idx val="8"/>
        <c:spPr>
          <a:solidFill>
            <a:schemeClr val="accent4">
              <a:tint val="86000"/>
            </a:schemeClr>
          </a:solidFill>
          <a:ln w="19050">
            <a:solidFill>
              <a:schemeClr val="lt1"/>
            </a:solidFill>
          </a:ln>
          <a:effectLst/>
        </c:spPr>
      </c:pivotFmt>
      <c:pivotFmt>
        <c:idx val="9"/>
        <c:spPr>
          <a:solidFill>
            <a:schemeClr val="accent4">
              <a:tint val="58000"/>
            </a:schemeClr>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hade val="58000"/>
            </a:schemeClr>
          </a:solidFill>
          <a:ln w="19050">
            <a:solidFill>
              <a:schemeClr val="lt1"/>
            </a:solidFill>
          </a:ln>
          <a:effectLst/>
        </c:spPr>
      </c:pivotFmt>
      <c:pivotFmt>
        <c:idx val="12"/>
        <c:spPr>
          <a:solidFill>
            <a:schemeClr val="accent4">
              <a:shade val="86000"/>
            </a:schemeClr>
          </a:solidFill>
          <a:ln w="19050">
            <a:solidFill>
              <a:schemeClr val="lt1"/>
            </a:solidFill>
          </a:ln>
          <a:effectLst/>
        </c:spPr>
      </c:pivotFmt>
      <c:pivotFmt>
        <c:idx val="13"/>
        <c:spPr>
          <a:solidFill>
            <a:schemeClr val="accent4">
              <a:tint val="86000"/>
            </a:schemeClr>
          </a:solidFill>
          <a:ln w="19050">
            <a:solidFill>
              <a:schemeClr val="lt1"/>
            </a:solidFill>
          </a:ln>
          <a:effectLst/>
        </c:spPr>
      </c:pivotFmt>
      <c:pivotFmt>
        <c:idx val="14"/>
        <c:spPr>
          <a:solidFill>
            <a:schemeClr val="accent4">
              <a:tint val="58000"/>
            </a:schemeClr>
          </a:solidFill>
          <a:ln w="19050">
            <a:solidFill>
              <a:schemeClr val="lt1"/>
            </a:solidFill>
          </a:ln>
          <a:effectLst/>
        </c:spPr>
      </c:pivotFmt>
    </c:pivotFmts>
    <c:plotArea>
      <c:layout>
        <c:manualLayout>
          <c:layoutTarget val="inner"/>
          <c:xMode val="edge"/>
          <c:yMode val="edge"/>
          <c:x val="0.19587087696348898"/>
          <c:y val="0.33955049841929169"/>
          <c:w val="0.40423519601628988"/>
          <c:h val="0.60853886780319011"/>
        </c:manualLayout>
      </c:layout>
      <c:doughnutChart>
        <c:varyColors val="1"/>
        <c:ser>
          <c:idx val="0"/>
          <c:order val="0"/>
          <c:tx>
            <c:strRef>
              <c:f>Sheet1!$E$1</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AE20-4296-A3E7-D5E91FD6C42A}"/>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AE20-4296-A3E7-D5E91FD6C42A}"/>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AE20-4296-A3E7-D5E91FD6C42A}"/>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AE20-4296-A3E7-D5E91FD6C42A}"/>
              </c:ext>
            </c:extLst>
          </c:dPt>
          <c:cat>
            <c:strRef>
              <c:f>Sheet1!$D$2:$D$6</c:f>
              <c:strCache>
                <c:ptCount val="4"/>
                <c:pt idx="0">
                  <c:v>Auto</c:v>
                </c:pt>
                <c:pt idx="1">
                  <c:v>Premier</c:v>
                </c:pt>
                <c:pt idx="2">
                  <c:v>UberGo</c:v>
                </c:pt>
                <c:pt idx="3">
                  <c:v>UberXL</c:v>
                </c:pt>
              </c:strCache>
            </c:strRef>
          </c:cat>
          <c:val>
            <c:numRef>
              <c:f>Sheet1!$E$2:$E$6</c:f>
              <c:numCache>
                <c:formatCode>General</c:formatCode>
                <c:ptCount val="4"/>
                <c:pt idx="0">
                  <c:v>9</c:v>
                </c:pt>
                <c:pt idx="1">
                  <c:v>8</c:v>
                </c:pt>
                <c:pt idx="2">
                  <c:v>25</c:v>
                </c:pt>
                <c:pt idx="3">
                  <c:v>8</c:v>
                </c:pt>
              </c:numCache>
            </c:numRef>
          </c:val>
          <c:extLst>
            <c:ext xmlns:c16="http://schemas.microsoft.com/office/drawing/2014/chart" uri="{C3380CC4-5D6E-409C-BE32-E72D297353CC}">
              <c16:uniqueId val="{00000008-AE20-4296-A3E7-D5E91FD6C4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a:innerShdw blurRad="114300">
        <a:prstClr val="black"/>
      </a:innerShdw>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 PROJECT 2(UBER RIDE DATASET).xlsx]Sheet1!PivotTable7</c:name>
    <c:fmtId val="5"/>
  </c:pivotSource>
  <c:chart>
    <c:title>
      <c:tx>
        <c:rich>
          <a:bodyPr rot="0" spcFirstLastPara="1" vertOverflow="ellipsis" vert="horz" wrap="square" anchor="ctr" anchorCtr="1"/>
          <a:lstStyle/>
          <a:p>
            <a:pPr>
              <a:defRPr sz="18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DAILY REVENUE TREND</a:t>
            </a:r>
          </a:p>
        </c:rich>
      </c:tx>
      <c:layout>
        <c:manualLayout>
          <c:xMode val="edge"/>
          <c:yMode val="edge"/>
          <c:x val="0.16798829886398944"/>
          <c:y val="0.13433790499891451"/>
        </c:manualLayout>
      </c:layout>
      <c:overlay val="0"/>
      <c:spPr>
        <a:noFill/>
        <a:ln>
          <a:noFill/>
        </a:ln>
        <a:effectLst/>
      </c:spPr>
      <c:txPr>
        <a:bodyPr rot="0" spcFirstLastPara="1" vertOverflow="ellipsis" vert="horz" wrap="square" anchor="ctr" anchorCtr="1"/>
        <a:lstStyle/>
        <a:p>
          <a:pPr>
            <a:defRPr sz="18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lt1"/>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Sheet1!$G$2:$G$11</c:f>
              <c:strCache>
                <c:ptCount val="9"/>
                <c:pt idx="0">
                  <c:v>1-Aug-26</c:v>
                </c:pt>
                <c:pt idx="1">
                  <c:v>2-Aug-26</c:v>
                </c:pt>
                <c:pt idx="2">
                  <c:v>3-Aug-26</c:v>
                </c:pt>
                <c:pt idx="3">
                  <c:v>4-Aug-26</c:v>
                </c:pt>
                <c:pt idx="4">
                  <c:v>5-Aug-26</c:v>
                </c:pt>
                <c:pt idx="5">
                  <c:v>6-Aug-26</c:v>
                </c:pt>
                <c:pt idx="6">
                  <c:v>7-Aug-26</c:v>
                </c:pt>
                <c:pt idx="7">
                  <c:v>8-Aug-26</c:v>
                </c:pt>
                <c:pt idx="8">
                  <c:v>9-Aug-26</c:v>
                </c:pt>
              </c:strCache>
            </c:strRef>
          </c:cat>
          <c:val>
            <c:numRef>
              <c:f>Sheet1!$H$2:$H$11</c:f>
              <c:numCache>
                <c:formatCode>General</c:formatCode>
                <c:ptCount val="9"/>
                <c:pt idx="0">
                  <c:v>1950</c:v>
                </c:pt>
                <c:pt idx="1">
                  <c:v>2040</c:v>
                </c:pt>
                <c:pt idx="2">
                  <c:v>2215</c:v>
                </c:pt>
                <c:pt idx="3">
                  <c:v>2385</c:v>
                </c:pt>
                <c:pt idx="4">
                  <c:v>1570</c:v>
                </c:pt>
                <c:pt idx="5">
                  <c:v>1965</c:v>
                </c:pt>
                <c:pt idx="6">
                  <c:v>2505</c:v>
                </c:pt>
                <c:pt idx="7">
                  <c:v>2167</c:v>
                </c:pt>
                <c:pt idx="8">
                  <c:v>1245</c:v>
                </c:pt>
              </c:numCache>
            </c:numRef>
          </c:val>
          <c:smooth val="0"/>
          <c:extLst>
            <c:ext xmlns:c16="http://schemas.microsoft.com/office/drawing/2014/chart" uri="{C3380CC4-5D6E-409C-BE32-E72D297353CC}">
              <c16:uniqueId val="{00000000-BE8D-4E71-981D-2E3852ADFD9A}"/>
            </c:ext>
          </c:extLst>
        </c:ser>
        <c:dLbls>
          <c:dLblPos val="ctr"/>
          <c:showLegendKey val="0"/>
          <c:showVal val="1"/>
          <c:showCatName val="0"/>
          <c:showSerName val="0"/>
          <c:showPercent val="0"/>
          <c:showBubbleSize val="0"/>
        </c:dLbls>
        <c:marker val="1"/>
        <c:smooth val="0"/>
        <c:axId val="1238853055"/>
        <c:axId val="1111696639"/>
      </c:lineChart>
      <c:catAx>
        <c:axId val="1238853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111696639"/>
        <c:crosses val="autoZero"/>
        <c:auto val="1"/>
        <c:lblAlgn val="ctr"/>
        <c:lblOffset val="100"/>
        <c:noMultiLvlLbl val="0"/>
      </c:catAx>
      <c:valAx>
        <c:axId val="1111696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388530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25000"/>
          <a:lumOff val="75000"/>
        </a:schemeClr>
      </a:solidFill>
      <a:round/>
    </a:ln>
    <a:effectLst>
      <a:innerShdw blurRad="114300">
        <a:prstClr val="black"/>
      </a:innerShdw>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[PART PROJECT 2(UBER RIDE DATASET).xlsx]Sheet1!PivotTable9</c:name>
    <c:fmtId val="7"/>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PAYMENT MODE DISTRIBUTION</a:t>
            </a:r>
          </a:p>
        </c:rich>
      </c:tx>
      <c:layout>
        <c:manualLayout>
          <c:xMode val="edge"/>
          <c:yMode val="edge"/>
          <c:x val="0.17845872731173132"/>
          <c:y val="0.16776520566406114"/>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Sheet1!$K$1</c:f>
              <c:strCache>
                <c:ptCount val="1"/>
                <c:pt idx="0">
                  <c:v>Total</c:v>
                </c:pt>
              </c:strCache>
            </c:strRef>
          </c:tx>
          <c:dPt>
            <c:idx val="0"/>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03-4155-B372-A441270A1C07}"/>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03-4155-B372-A441270A1C07}"/>
              </c:ext>
            </c:extLst>
          </c:dPt>
          <c:dPt>
            <c:idx val="2"/>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03-4155-B372-A441270A1C07}"/>
              </c:ext>
            </c:extLst>
          </c:dPt>
          <c:cat>
            <c:strRef>
              <c:f>Sheet1!$J$2:$J$5</c:f>
              <c:strCache>
                <c:ptCount val="3"/>
                <c:pt idx="0">
                  <c:v>Card</c:v>
                </c:pt>
                <c:pt idx="1">
                  <c:v>Cash</c:v>
                </c:pt>
                <c:pt idx="2">
                  <c:v>UPI</c:v>
                </c:pt>
              </c:strCache>
            </c:strRef>
          </c:cat>
          <c:val>
            <c:numRef>
              <c:f>Sheet1!$K$2:$K$5</c:f>
              <c:numCache>
                <c:formatCode>General</c:formatCode>
                <c:ptCount val="3"/>
                <c:pt idx="0">
                  <c:v>17</c:v>
                </c:pt>
                <c:pt idx="1">
                  <c:v>10</c:v>
                </c:pt>
                <c:pt idx="2">
                  <c:v>23</c:v>
                </c:pt>
              </c:numCache>
            </c:numRef>
          </c:val>
          <c:extLst>
            <c:ext xmlns:c16="http://schemas.microsoft.com/office/drawing/2014/chart" uri="{C3380CC4-5D6E-409C-BE32-E72D297353CC}">
              <c16:uniqueId val="{00000006-E503-4155-B372-A441270A1C0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a:innerShdw blurRad="114300">
        <a:prstClr val="black"/>
      </a:innerShdw>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[PART PROJECT 2(UBER RIDE DATASET).xlsx]Sheet1!PivotTable10</c:name>
    <c:fmtId val="8"/>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REVENUE BY TRIP TYPE</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Sheet1!$N$1</c:f>
              <c:strCache>
                <c:ptCount val="1"/>
                <c:pt idx="0">
                  <c:v>Total</c:v>
                </c:pt>
              </c:strCache>
            </c:strRef>
          </c:tx>
          <c:dPt>
            <c:idx val="0"/>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1FE-43C9-A2E4-B0BEEAB0080C}"/>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1FE-43C9-A2E4-B0BEEAB0080C}"/>
              </c:ext>
            </c:extLst>
          </c:dPt>
          <c:cat>
            <c:strRef>
              <c:f>Sheet1!$M$2:$M$4</c:f>
              <c:strCache>
                <c:ptCount val="2"/>
                <c:pt idx="0">
                  <c:v>Airport</c:v>
                </c:pt>
                <c:pt idx="1">
                  <c:v>City</c:v>
                </c:pt>
              </c:strCache>
            </c:strRef>
          </c:cat>
          <c:val>
            <c:numRef>
              <c:f>Sheet1!$N$2:$N$4</c:f>
              <c:numCache>
                <c:formatCode>General</c:formatCode>
                <c:ptCount val="2"/>
                <c:pt idx="0">
                  <c:v>8400</c:v>
                </c:pt>
                <c:pt idx="1">
                  <c:v>9642</c:v>
                </c:pt>
              </c:numCache>
            </c:numRef>
          </c:val>
          <c:extLst>
            <c:ext xmlns:c16="http://schemas.microsoft.com/office/drawing/2014/chart" uri="{C3380CC4-5D6E-409C-BE32-E72D297353CC}">
              <c16:uniqueId val="{00000004-E1FE-43C9-A2E4-B0BEEAB008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[PART PROJECT 2(UBER RIDE DATASET).xlsx]Sheet1!PivotTable11</c:name>
    <c:fmtId val="5"/>
  </c:pivotSource>
  <c:chart>
    <c:title>
      <c:tx>
        <c:rich>
          <a:bodyPr rot="0" spcFirstLastPara="1" vertOverflow="ellipsis" vert="horz" wrap="square" anchor="ctr" anchorCtr="1"/>
          <a:lstStyle/>
          <a:p>
            <a:pPr>
              <a:defRPr sz="18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CUSTOMER TYPE DISTRIBUTION</a:t>
            </a:r>
          </a:p>
        </c:rich>
      </c:tx>
      <c:layout>
        <c:manualLayout>
          <c:xMode val="edge"/>
          <c:yMode val="edge"/>
          <c:x val="0.21329360736953104"/>
          <c:y val="0.1235428654878471"/>
        </c:manualLayout>
      </c:layout>
      <c:overlay val="0"/>
      <c:spPr>
        <a:noFill/>
        <a:ln>
          <a:noFill/>
        </a:ln>
        <a:effectLst/>
      </c:spPr>
      <c:txPr>
        <a:bodyPr rot="0" spcFirstLastPara="1" vertOverflow="ellipsis" vert="horz" wrap="square" anchor="ctr" anchorCtr="1"/>
        <a:lstStyle/>
        <a:p>
          <a:pPr>
            <a:defRPr sz="18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pattFill prst="ltDnDiag">
            <a:fgClr>
              <a:schemeClr val="dk1">
                <a:tint val="88500"/>
              </a:schemeClr>
            </a:fgClr>
            <a:bgClr>
              <a:schemeClr val="dk1">
                <a:tint val="88500"/>
                <a:lumMod val="20000"/>
                <a:lumOff val="80000"/>
              </a:schemeClr>
            </a:bgClr>
          </a:pattFill>
          <a:ln>
            <a:solidFill>
              <a:schemeClr val="dk1">
                <a:tint val="88500"/>
              </a:schemeClr>
            </a:solidFill>
          </a:ln>
          <a:effectLst/>
          <a:sp3d>
            <a:contourClr>
              <a:schemeClr val="dk1">
                <a:tint val="885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dk1">
                <a:tint val="88500"/>
              </a:schemeClr>
            </a:fgClr>
            <a:bgClr>
              <a:schemeClr val="dk1">
                <a:tint val="88500"/>
                <a:lumMod val="20000"/>
                <a:lumOff val="80000"/>
              </a:schemeClr>
            </a:bgClr>
          </a:pattFill>
          <a:ln>
            <a:solidFill>
              <a:schemeClr val="dk1">
                <a:tint val="88500"/>
              </a:schemeClr>
            </a:solidFill>
          </a:ln>
          <a:effectLst/>
          <a:sp3d>
            <a:contourClr>
              <a:schemeClr val="dk1">
                <a:tint val="885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dk1">
                <a:tint val="88500"/>
              </a:schemeClr>
            </a:fgClr>
            <a:bgClr>
              <a:schemeClr val="dk1">
                <a:tint val="88500"/>
                <a:lumMod val="20000"/>
                <a:lumOff val="80000"/>
              </a:schemeClr>
            </a:bgClr>
          </a:pattFill>
          <a:ln>
            <a:solidFill>
              <a:schemeClr val="dk1">
                <a:tint val="88500"/>
              </a:schemeClr>
            </a:solidFill>
          </a:ln>
          <a:effectLst/>
          <a:sp3d>
            <a:contourClr>
              <a:schemeClr val="dk1">
                <a:tint val="885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Sheet1!$Q$1</c:f>
              <c:strCache>
                <c:ptCount val="1"/>
                <c:pt idx="0">
                  <c:v>Total</c:v>
                </c:pt>
              </c:strCache>
            </c:strRef>
          </c:tx>
          <c:spPr>
            <a:pattFill prst="ltDnDiag">
              <a:fgClr>
                <a:schemeClr val="dk1">
                  <a:tint val="88500"/>
                </a:schemeClr>
              </a:fgClr>
              <a:bgClr>
                <a:schemeClr val="dk1">
                  <a:tint val="88500"/>
                  <a:lumMod val="20000"/>
                  <a:lumOff val="80000"/>
                </a:schemeClr>
              </a:bgClr>
            </a:pattFill>
            <a:ln>
              <a:solidFill>
                <a:schemeClr val="dk1">
                  <a:tint val="88500"/>
                </a:schemeClr>
              </a:solidFill>
            </a:ln>
            <a:effectLst/>
            <a:sp3d>
              <a:contourClr>
                <a:schemeClr val="dk1">
                  <a:tint val="88500"/>
                </a:schemeClr>
              </a:contourClr>
            </a:sp3d>
          </c:spPr>
          <c:invertIfNegative val="0"/>
          <c:cat>
            <c:strRef>
              <c:f>Sheet1!$P$2:$P$5</c:f>
              <c:strCache>
                <c:ptCount val="3"/>
                <c:pt idx="0">
                  <c:v>New</c:v>
                </c:pt>
                <c:pt idx="1">
                  <c:v>Premium</c:v>
                </c:pt>
                <c:pt idx="2">
                  <c:v>Regular</c:v>
                </c:pt>
              </c:strCache>
            </c:strRef>
          </c:cat>
          <c:val>
            <c:numRef>
              <c:f>Sheet1!$Q$2:$Q$5</c:f>
              <c:numCache>
                <c:formatCode>General</c:formatCode>
                <c:ptCount val="3"/>
                <c:pt idx="0">
                  <c:v>13</c:v>
                </c:pt>
                <c:pt idx="1">
                  <c:v>11</c:v>
                </c:pt>
                <c:pt idx="2">
                  <c:v>26</c:v>
                </c:pt>
              </c:numCache>
            </c:numRef>
          </c:val>
          <c:extLst>
            <c:ext xmlns:c16="http://schemas.microsoft.com/office/drawing/2014/chart" uri="{C3380CC4-5D6E-409C-BE32-E72D297353CC}">
              <c16:uniqueId val="{00000000-40D5-474F-97A6-EAB48D7CA08B}"/>
            </c:ext>
          </c:extLst>
        </c:ser>
        <c:dLbls>
          <c:showLegendKey val="0"/>
          <c:showVal val="0"/>
          <c:showCatName val="0"/>
          <c:showSerName val="0"/>
          <c:showPercent val="0"/>
          <c:showBubbleSize val="0"/>
        </c:dLbls>
        <c:gapWidth val="150"/>
        <c:shape val="box"/>
        <c:axId val="1344229327"/>
        <c:axId val="1076339679"/>
        <c:axId val="0"/>
      </c:bar3DChart>
      <c:catAx>
        <c:axId val="134422932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076339679"/>
        <c:crosses val="autoZero"/>
        <c:auto val="1"/>
        <c:lblAlgn val="ctr"/>
        <c:lblOffset val="100"/>
        <c:noMultiLvlLbl val="0"/>
      </c:catAx>
      <c:valAx>
        <c:axId val="1076339679"/>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34422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a:innerShdw blurRad="114300">
        <a:prstClr val="black"/>
      </a:innerShdw>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[PART PROJECT 2(UBER RIDE DATASET).xlsx]Sheet1!PivotTable12</c:name>
    <c:fmtId val="7"/>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a:t>AVERAGE RATING BY VEHICLE </a:t>
            </a:r>
          </a:p>
        </c:rich>
      </c:tx>
      <c:layout>
        <c:manualLayout>
          <c:xMode val="edge"/>
          <c:yMode val="edge"/>
          <c:x val="0.23392852969846537"/>
          <c:y val="0.11996151698091023"/>
        </c:manualLayout>
      </c:layout>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50" baseline="0">
                  <a:ln w="0"/>
                  <a:solidFill>
                    <a:schemeClr val="tx1">
                      <a:lumMod val="75000"/>
                      <a:lumOff val="25000"/>
                    </a:schemeClr>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Sheet1!$T$1</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Sheet1!$S$2:$S$6</c:f>
              <c:strCache>
                <c:ptCount val="4"/>
                <c:pt idx="0">
                  <c:v>Auto</c:v>
                </c:pt>
                <c:pt idx="1">
                  <c:v>Premier</c:v>
                </c:pt>
                <c:pt idx="2">
                  <c:v>UberGo</c:v>
                </c:pt>
                <c:pt idx="3">
                  <c:v>UberXL</c:v>
                </c:pt>
              </c:strCache>
            </c:strRef>
          </c:cat>
          <c:val>
            <c:numRef>
              <c:f>Sheet1!$T$2:$T$6</c:f>
              <c:numCache>
                <c:formatCode>General</c:formatCode>
                <c:ptCount val="4"/>
                <c:pt idx="0">
                  <c:v>38.5</c:v>
                </c:pt>
                <c:pt idx="1">
                  <c:v>38.799999999999997</c:v>
                </c:pt>
                <c:pt idx="2">
                  <c:v>112.89999999999999</c:v>
                </c:pt>
                <c:pt idx="3">
                  <c:v>38</c:v>
                </c:pt>
              </c:numCache>
            </c:numRef>
          </c:val>
          <c:extLst>
            <c:ext xmlns:c16="http://schemas.microsoft.com/office/drawing/2014/chart" uri="{C3380CC4-5D6E-409C-BE32-E72D297353CC}">
              <c16:uniqueId val="{00000000-C88F-40B0-8FB5-CAAD416EC7F5}"/>
            </c:ext>
          </c:extLst>
        </c:ser>
        <c:dLbls>
          <c:showLegendKey val="0"/>
          <c:showVal val="0"/>
          <c:showCatName val="0"/>
          <c:showSerName val="0"/>
          <c:showPercent val="0"/>
          <c:showBubbleSize val="0"/>
        </c:dLbls>
        <c:gapWidth val="150"/>
        <c:shape val="box"/>
        <c:axId val="1336786815"/>
        <c:axId val="1111714399"/>
        <c:axId val="0"/>
      </c:bar3DChart>
      <c:catAx>
        <c:axId val="1336786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111714399"/>
        <c:crosses val="autoZero"/>
        <c:auto val="1"/>
        <c:lblAlgn val="ctr"/>
        <c:lblOffset val="100"/>
        <c:noMultiLvlLbl val="0"/>
      </c:catAx>
      <c:valAx>
        <c:axId val="111171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crossAx val="133678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a:innerShdw blurRad="114300">
        <a:prstClr val="black"/>
      </a:innerShdw>
    </a:effectLst>
  </c:spPr>
  <c:txPr>
    <a:bodyPr/>
    <a:lstStyle/>
    <a:p>
      <a:pPr>
        <a:defRPr b="1" cap="none" spc="50">
          <a:ln w="0"/>
          <a:solidFill>
            <a:schemeClr val="bg2"/>
          </a:solidFill>
          <a:effectLst>
            <a:innerShdw blurRad="63500" dist="50800" dir="13500000">
              <a:srgbClr val="000000">
                <a:alpha val="50000"/>
              </a:srgbClr>
            </a:inn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123825</xdr:rowOff>
    </xdr:from>
    <xdr:to>
      <xdr:col>3</xdr:col>
      <xdr:colOff>704850</xdr:colOff>
      <xdr:row>23</xdr:row>
      <xdr:rowOff>66676</xdr:rowOff>
    </xdr:to>
    <xdr:graphicFrame macro="">
      <xdr:nvGraphicFramePr>
        <xdr:cNvPr id="3" name="Chart 2">
          <a:extLst>
            <a:ext uri="{FF2B5EF4-FFF2-40B4-BE49-F238E27FC236}">
              <a16:creationId xmlns:a16="http://schemas.microsoft.com/office/drawing/2014/main" id="{39E9BF59-2269-3D24-8235-0CE7F1FB3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11</xdr:row>
      <xdr:rowOff>114300</xdr:rowOff>
    </xdr:from>
    <xdr:to>
      <xdr:col>8</xdr:col>
      <xdr:colOff>180975</xdr:colOff>
      <xdr:row>22</xdr:row>
      <xdr:rowOff>100011</xdr:rowOff>
    </xdr:to>
    <xdr:graphicFrame macro="">
      <xdr:nvGraphicFramePr>
        <xdr:cNvPr id="4" name="Chart 3">
          <a:extLst>
            <a:ext uri="{FF2B5EF4-FFF2-40B4-BE49-F238E27FC236}">
              <a16:creationId xmlns:a16="http://schemas.microsoft.com/office/drawing/2014/main" id="{54F844AE-5861-6C8A-4BBF-B7768B728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485775</xdr:colOff>
      <xdr:row>11</xdr:row>
      <xdr:rowOff>85724</xdr:rowOff>
    </xdr:from>
    <xdr:to>
      <xdr:col>13</xdr:col>
      <xdr:colOff>66675</xdr:colOff>
      <xdr:row>24</xdr:row>
      <xdr:rowOff>61911</xdr:rowOff>
    </xdr:to>
    <xdr:graphicFrame macro="">
      <xdr:nvGraphicFramePr>
        <xdr:cNvPr id="5" name="Chart 4">
          <a:extLst>
            <a:ext uri="{FF2B5EF4-FFF2-40B4-BE49-F238E27FC236}">
              <a16:creationId xmlns:a16="http://schemas.microsoft.com/office/drawing/2014/main" id="{D53567CB-F31C-5BC9-0CE9-346768AD7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276225</xdr:colOff>
      <xdr:row>11</xdr:row>
      <xdr:rowOff>38100</xdr:rowOff>
    </xdr:from>
    <xdr:to>
      <xdr:col>17</xdr:col>
      <xdr:colOff>342900</xdr:colOff>
      <xdr:row>23</xdr:row>
      <xdr:rowOff>176212</xdr:rowOff>
    </xdr:to>
    <xdr:graphicFrame macro="">
      <xdr:nvGraphicFramePr>
        <xdr:cNvPr id="6" name="Chart 5">
          <a:extLst>
            <a:ext uri="{FF2B5EF4-FFF2-40B4-BE49-F238E27FC236}">
              <a16:creationId xmlns:a16="http://schemas.microsoft.com/office/drawing/2014/main" id="{DFCEA225-5934-3277-26D8-04F7472828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19050</xdr:colOff>
      <xdr:row>10</xdr:row>
      <xdr:rowOff>19049</xdr:rowOff>
    </xdr:from>
    <xdr:to>
      <xdr:col>21</xdr:col>
      <xdr:colOff>457200</xdr:colOff>
      <xdr:row>23</xdr:row>
      <xdr:rowOff>90486</xdr:rowOff>
    </xdr:to>
    <xdr:graphicFrame macro="">
      <xdr:nvGraphicFramePr>
        <xdr:cNvPr id="7" name="Chart 6">
          <a:extLst>
            <a:ext uri="{FF2B5EF4-FFF2-40B4-BE49-F238E27FC236}">
              <a16:creationId xmlns:a16="http://schemas.microsoft.com/office/drawing/2014/main" id="{52CA0E94-2E1B-4D0A-99D2-A4C0D533F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600075</xdr:colOff>
      <xdr:row>9</xdr:row>
      <xdr:rowOff>190499</xdr:rowOff>
    </xdr:from>
    <xdr:to>
      <xdr:col>27</xdr:col>
      <xdr:colOff>361950</xdr:colOff>
      <xdr:row>22</xdr:row>
      <xdr:rowOff>166686</xdr:rowOff>
    </xdr:to>
    <xdr:graphicFrame macro="">
      <xdr:nvGraphicFramePr>
        <xdr:cNvPr id="8" name="Chart 7">
          <a:extLst>
            <a:ext uri="{FF2B5EF4-FFF2-40B4-BE49-F238E27FC236}">
              <a16:creationId xmlns:a16="http://schemas.microsoft.com/office/drawing/2014/main" id="{0A460014-AD7F-3079-0B8B-80B5D6172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400050</xdr:colOff>
      <xdr:row>26</xdr:row>
      <xdr:rowOff>47624</xdr:rowOff>
    </xdr:from>
    <xdr:to>
      <xdr:col>10</xdr:col>
      <xdr:colOff>504825</xdr:colOff>
      <xdr:row>39</xdr:row>
      <xdr:rowOff>138111</xdr:rowOff>
    </xdr:to>
    <xdr:graphicFrame macro="">
      <xdr:nvGraphicFramePr>
        <xdr:cNvPr id="9" name="Chart 8">
          <a:extLst>
            <a:ext uri="{FF2B5EF4-FFF2-40B4-BE49-F238E27FC236}">
              <a16:creationId xmlns:a16="http://schemas.microsoft.com/office/drawing/2014/main" id="{1E49C448-B5D1-6595-FCD7-023307D3C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676275</xdr:colOff>
      <xdr:row>27</xdr:row>
      <xdr:rowOff>66675</xdr:rowOff>
    </xdr:from>
    <xdr:to>
      <xdr:col>15</xdr:col>
      <xdr:colOff>247650</xdr:colOff>
      <xdr:row>40</xdr:row>
      <xdr:rowOff>147637</xdr:rowOff>
    </xdr:to>
    <xdr:graphicFrame macro="">
      <xdr:nvGraphicFramePr>
        <xdr:cNvPr id="10" name="Chart 9">
          <a:extLst>
            <a:ext uri="{FF2B5EF4-FFF2-40B4-BE49-F238E27FC236}">
              <a16:creationId xmlns:a16="http://schemas.microsoft.com/office/drawing/2014/main" id="{9A1950EA-7245-003F-C357-0E8D2772C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739775</xdr:colOff>
      <xdr:row>24</xdr:row>
      <xdr:rowOff>69850</xdr:rowOff>
    </xdr:from>
    <xdr:to>
      <xdr:col>17</xdr:col>
      <xdr:colOff>523875</xdr:colOff>
      <xdr:row>38</xdr:row>
      <xdr:rowOff>111122</xdr:rowOff>
    </xdr:to>
    <mc:AlternateContent xmlns:mc="http://schemas.openxmlformats.org/markup-compatibility/2006">
      <mc:Choice xmlns:a14="http://schemas.microsoft.com/office/drawing/2010/main" Requires="a14">
        <xdr:graphicFrame macro="">
          <xdr:nvGraphicFramePr>
            <xdr:cNvPr id="11" name="City">
              <a:extLst>
                <a:ext uri="{FF2B5EF4-FFF2-40B4-BE49-F238E27FC236}">
                  <a16:creationId xmlns:a16="http://schemas.microsoft.com/office/drawing/2014/main" id="{13AD7C2B-701A-8B1A-54FF-65FE3A549A7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627100" y="4641850"/>
              <a:ext cx="1774825" cy="2708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47625</xdr:colOff>
      <xdr:row>24</xdr:row>
      <xdr:rowOff>180975</xdr:rowOff>
    </xdr:from>
    <xdr:to>
      <xdr:col>19</xdr:col>
      <xdr:colOff>981075</xdr:colOff>
      <xdr:row>38</xdr:row>
      <xdr:rowOff>180975</xdr:rowOff>
    </xdr:to>
    <mc:AlternateContent xmlns:mc="http://schemas.openxmlformats.org/markup-compatibility/2006">
      <mc:Choice xmlns:a14="http://schemas.microsoft.com/office/drawing/2010/main" Requires="a14">
        <xdr:graphicFrame macro="">
          <xdr:nvGraphicFramePr>
            <xdr:cNvPr id="2" name="Vehicle_Type">
              <a:extLst>
                <a:ext uri="{FF2B5EF4-FFF2-40B4-BE49-F238E27FC236}">
                  <a16:creationId xmlns:a16="http://schemas.microsoft.com/office/drawing/2014/main" id="{89AAEAC1-1CCB-3260-296A-5B327F8CD712}"/>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15535275" y="4752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1552575</xdr:colOff>
      <xdr:row>24</xdr:row>
      <xdr:rowOff>85725</xdr:rowOff>
    </xdr:from>
    <xdr:to>
      <xdr:col>22</xdr:col>
      <xdr:colOff>295275</xdr:colOff>
      <xdr:row>38</xdr:row>
      <xdr:rowOff>85725</xdr:rowOff>
    </xdr:to>
    <mc:AlternateContent xmlns:mc="http://schemas.openxmlformats.org/markup-compatibility/2006">
      <mc:Choice xmlns:a14="http://schemas.microsoft.com/office/drawing/2010/main" Requires="a14">
        <xdr:graphicFrame macro="">
          <xdr:nvGraphicFramePr>
            <xdr:cNvPr id="12" name="Date">
              <a:extLst>
                <a:ext uri="{FF2B5EF4-FFF2-40B4-BE49-F238E27FC236}">
                  <a16:creationId xmlns:a16="http://schemas.microsoft.com/office/drawing/2014/main" id="{C005148C-4660-5C60-AB74-49D21AAD2A6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7935575" y="46577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128716</xdr:colOff>
      <xdr:row>55</xdr:row>
      <xdr:rowOff>0</xdr:rowOff>
    </xdr:to>
    <xdr:sp macro="" textlink="">
      <xdr:nvSpPr>
        <xdr:cNvPr id="2" name="Rectangle 1">
          <a:extLst>
            <a:ext uri="{FF2B5EF4-FFF2-40B4-BE49-F238E27FC236}">
              <a16:creationId xmlns:a16="http://schemas.microsoft.com/office/drawing/2014/main" id="{89E47ADB-8B4A-514C-A12F-1A51C8F6556A}"/>
            </a:ext>
          </a:extLst>
        </xdr:cNvPr>
        <xdr:cNvSpPr/>
      </xdr:nvSpPr>
      <xdr:spPr>
        <a:xfrm>
          <a:off x="0" y="0"/>
          <a:ext cx="13574841" cy="10040938"/>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68649</xdr:colOff>
      <xdr:row>1</xdr:row>
      <xdr:rowOff>9525</xdr:rowOff>
    </xdr:from>
    <xdr:to>
      <xdr:col>13</xdr:col>
      <xdr:colOff>9525</xdr:colOff>
      <xdr:row>5</xdr:row>
      <xdr:rowOff>0</xdr:rowOff>
    </xdr:to>
    <xdr:sp macro="" textlink="">
      <xdr:nvSpPr>
        <xdr:cNvPr id="3" name="TextBox 2">
          <a:extLst>
            <a:ext uri="{FF2B5EF4-FFF2-40B4-BE49-F238E27FC236}">
              <a16:creationId xmlns:a16="http://schemas.microsoft.com/office/drawing/2014/main" id="{E908B2C1-033A-5CE4-A1AC-B3574E4C6801}"/>
            </a:ext>
          </a:extLst>
        </xdr:cNvPr>
        <xdr:cNvSpPr txBox="1"/>
      </xdr:nvSpPr>
      <xdr:spPr>
        <a:xfrm>
          <a:off x="4333446" y="189728"/>
          <a:ext cx="3596417" cy="711286"/>
        </a:xfrm>
        <a:prstGeom prst="rect">
          <a:avLst/>
        </a:prstGeom>
        <a:solidFill>
          <a:schemeClr val="accent4">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latin typeface="Calisto MT" panose="02040603050505030304" pitchFamily="18" charset="0"/>
            </a:rPr>
            <a:t>         UBER</a:t>
          </a:r>
          <a:r>
            <a:rPr lang="en-US" sz="1800" b="1" baseline="0">
              <a:latin typeface="Calisto MT" panose="02040603050505030304" pitchFamily="18" charset="0"/>
            </a:rPr>
            <a:t> DASHBOARD</a:t>
          </a:r>
          <a:endParaRPr lang="en-US" sz="1800" b="1">
            <a:latin typeface="Calisto MT" panose="02040603050505030304" pitchFamily="18" charset="0"/>
          </a:endParaRPr>
        </a:p>
      </xdr:txBody>
    </xdr:sp>
    <xdr:clientData/>
  </xdr:twoCellAnchor>
  <xdr:twoCellAnchor>
    <xdr:from>
      <xdr:col>0</xdr:col>
      <xdr:colOff>95250</xdr:colOff>
      <xdr:row>6</xdr:row>
      <xdr:rowOff>64942</xdr:rowOff>
    </xdr:from>
    <xdr:to>
      <xdr:col>3</xdr:col>
      <xdr:colOff>577850</xdr:colOff>
      <xdr:row>9</xdr:row>
      <xdr:rowOff>87312</xdr:rowOff>
    </xdr:to>
    <xdr:sp macro="" textlink="">
      <xdr:nvSpPr>
        <xdr:cNvPr id="4" name="TextBox 3">
          <a:extLst>
            <a:ext uri="{FF2B5EF4-FFF2-40B4-BE49-F238E27FC236}">
              <a16:creationId xmlns:a16="http://schemas.microsoft.com/office/drawing/2014/main" id="{0A8B5945-FD47-9320-AB6C-07A4CCCAC2CB}"/>
            </a:ext>
          </a:extLst>
        </xdr:cNvPr>
        <xdr:cNvSpPr txBox="1"/>
      </xdr:nvSpPr>
      <xdr:spPr>
        <a:xfrm>
          <a:off x="95250" y="1160317"/>
          <a:ext cx="2316163" cy="570058"/>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Georgia" panose="02040502050405020303" pitchFamily="18" charset="0"/>
            </a:rPr>
            <a:t>         </a:t>
          </a:r>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TOTAL RIDES:</a:t>
          </a:r>
        </a:p>
        <a:p>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                  50</a:t>
          </a:r>
          <a:endParaRPr lang="en-US" sz="1400" b="1">
            <a:latin typeface="+mj-lt"/>
          </a:endParaRPr>
        </a:p>
      </xdr:txBody>
    </xdr:sp>
    <xdr:clientData/>
  </xdr:twoCellAnchor>
  <xdr:twoCellAnchor>
    <xdr:from>
      <xdr:col>4</xdr:col>
      <xdr:colOff>95250</xdr:colOff>
      <xdr:row>6</xdr:row>
      <xdr:rowOff>31750</xdr:rowOff>
    </xdr:from>
    <xdr:to>
      <xdr:col>8</xdr:col>
      <xdr:colOff>57150</xdr:colOff>
      <xdr:row>9</xdr:row>
      <xdr:rowOff>43295</xdr:rowOff>
    </xdr:to>
    <xdr:sp macro="" textlink="">
      <xdr:nvSpPr>
        <xdr:cNvPr id="5" name="TextBox 4">
          <a:extLst>
            <a:ext uri="{FF2B5EF4-FFF2-40B4-BE49-F238E27FC236}">
              <a16:creationId xmlns:a16="http://schemas.microsoft.com/office/drawing/2014/main" id="{3B1157A4-1D00-8C0E-81F6-8C51D02A6BF4}"/>
            </a:ext>
          </a:extLst>
        </xdr:cNvPr>
        <xdr:cNvSpPr txBox="1"/>
      </xdr:nvSpPr>
      <xdr:spPr>
        <a:xfrm>
          <a:off x="2519795" y="1157432"/>
          <a:ext cx="2386446" cy="574386"/>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Georgia" panose="02040502050405020303" pitchFamily="18" charset="0"/>
            </a:rPr>
            <a:t>   </a:t>
          </a:r>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ea typeface="+mn-ea"/>
              <a:cs typeface="+mn-cs"/>
            </a:rPr>
            <a:t>COMPLETED</a:t>
          </a:r>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 RIDES:</a:t>
          </a:r>
        </a:p>
        <a:p>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                    </a:t>
          </a:r>
          <a:r>
            <a:rPr lang="en-US" sz="1400" b="1" cap="none" spc="50">
              <a:ln w="0"/>
              <a:solidFill>
                <a:schemeClr val="bg2"/>
              </a:solidFill>
              <a:effectLst>
                <a:innerShdw blurRad="63500" dist="50800" dir="13500000">
                  <a:srgbClr val="000000">
                    <a:alpha val="50000"/>
                  </a:srgbClr>
                </a:innerShdw>
              </a:effectLst>
              <a:latin typeface="+mj-lt"/>
            </a:rPr>
            <a:t>47</a:t>
          </a:r>
          <a:endParaRPr lang="en-US" sz="1400" b="1">
            <a:latin typeface="+mj-lt"/>
          </a:endParaRPr>
        </a:p>
      </xdr:txBody>
    </xdr:sp>
    <xdr:clientData/>
  </xdr:twoCellAnchor>
  <xdr:twoCellAnchor>
    <xdr:from>
      <xdr:col>8</xdr:col>
      <xdr:colOff>203200</xdr:colOff>
      <xdr:row>6</xdr:row>
      <xdr:rowOff>31750</xdr:rowOff>
    </xdr:from>
    <xdr:to>
      <xdr:col>12</xdr:col>
      <xdr:colOff>28864</xdr:colOff>
      <xdr:row>9</xdr:row>
      <xdr:rowOff>21647</xdr:rowOff>
    </xdr:to>
    <xdr:sp macro="" textlink="">
      <xdr:nvSpPr>
        <xdr:cNvPr id="6" name="TextBox 5">
          <a:extLst>
            <a:ext uri="{FF2B5EF4-FFF2-40B4-BE49-F238E27FC236}">
              <a16:creationId xmlns:a16="http://schemas.microsoft.com/office/drawing/2014/main" id="{4AE8AC21-59BB-A7B9-B688-A755C875738D}"/>
            </a:ext>
          </a:extLst>
        </xdr:cNvPr>
        <xdr:cNvSpPr txBox="1"/>
      </xdr:nvSpPr>
      <xdr:spPr>
        <a:xfrm>
          <a:off x="5052291" y="1157432"/>
          <a:ext cx="2250209" cy="552738"/>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  TOTAL REVENUE:</a:t>
          </a:r>
        </a:p>
        <a:p>
          <a:r>
            <a:rPr lang="en-US" sz="1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            18042</a:t>
          </a:r>
        </a:p>
      </xdr:txBody>
    </xdr:sp>
    <xdr:clientData/>
  </xdr:twoCellAnchor>
  <xdr:twoCellAnchor>
    <xdr:from>
      <xdr:col>12</xdr:col>
      <xdr:colOff>173182</xdr:colOff>
      <xdr:row>6</xdr:row>
      <xdr:rowOff>38100</xdr:rowOff>
    </xdr:from>
    <xdr:to>
      <xdr:col>16</xdr:col>
      <xdr:colOff>245341</xdr:colOff>
      <xdr:row>9</xdr:row>
      <xdr:rowOff>63500</xdr:rowOff>
    </xdr:to>
    <xdr:sp macro="" textlink="">
      <xdr:nvSpPr>
        <xdr:cNvPr id="7" name="TextBox 6">
          <a:extLst>
            <a:ext uri="{FF2B5EF4-FFF2-40B4-BE49-F238E27FC236}">
              <a16:creationId xmlns:a16="http://schemas.microsoft.com/office/drawing/2014/main" id="{97BA2C11-4DEA-F0FB-8DB5-6B2AE5B8D0E0}"/>
            </a:ext>
          </a:extLst>
        </xdr:cNvPr>
        <xdr:cNvSpPr txBox="1"/>
      </xdr:nvSpPr>
      <xdr:spPr>
        <a:xfrm>
          <a:off x="7507432" y="1133475"/>
          <a:ext cx="2516909" cy="573088"/>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Georgia" panose="02040502050405020303" pitchFamily="18" charset="0"/>
            </a:rPr>
            <a:t>     </a:t>
          </a:r>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AVERAGE FARE:</a:t>
          </a:r>
        </a:p>
        <a:p>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               </a:t>
          </a:r>
          <a:r>
            <a:rPr lang="en-US" sz="1400" b="1" cap="none" spc="50">
              <a:ln w="0"/>
              <a:solidFill>
                <a:schemeClr val="bg2"/>
              </a:solidFill>
              <a:effectLst>
                <a:innerShdw blurRad="63500" dist="50800" dir="13500000">
                  <a:srgbClr val="000000">
                    <a:alpha val="50000"/>
                  </a:srgbClr>
                </a:innerShdw>
              </a:effectLst>
              <a:latin typeface="+mj-lt"/>
            </a:rPr>
            <a:t>360.84</a:t>
          </a:r>
          <a:endParaRPr lang="en-US" sz="1400" b="1">
            <a:latin typeface="+mj-lt"/>
          </a:endParaRPr>
        </a:p>
      </xdr:txBody>
    </xdr:sp>
    <xdr:clientData/>
  </xdr:twoCellAnchor>
  <xdr:twoCellAnchor>
    <xdr:from>
      <xdr:col>16</xdr:col>
      <xdr:colOff>396875</xdr:colOff>
      <xdr:row>6</xdr:row>
      <xdr:rowOff>12701</xdr:rowOff>
    </xdr:from>
    <xdr:to>
      <xdr:col>21</xdr:col>
      <xdr:colOff>86591</xdr:colOff>
      <xdr:row>9</xdr:row>
      <xdr:rowOff>43296</xdr:rowOff>
    </xdr:to>
    <xdr:sp macro="" textlink="">
      <xdr:nvSpPr>
        <xdr:cNvPr id="8" name="TextBox 7">
          <a:extLst>
            <a:ext uri="{FF2B5EF4-FFF2-40B4-BE49-F238E27FC236}">
              <a16:creationId xmlns:a16="http://schemas.microsoft.com/office/drawing/2014/main" id="{7BBD3594-39B1-D303-DA68-D2318089DC3E}"/>
            </a:ext>
          </a:extLst>
        </xdr:cNvPr>
        <xdr:cNvSpPr txBox="1"/>
      </xdr:nvSpPr>
      <xdr:spPr>
        <a:xfrm>
          <a:off x="10095057" y="1138383"/>
          <a:ext cx="2720398" cy="593436"/>
        </a:xfrm>
        <a:prstGeom prst="rect">
          <a:avLst/>
        </a:prstGeom>
        <a:solidFill>
          <a:schemeClr val="accent1">
            <a:lumMod val="75000"/>
          </a:schemeClr>
        </a:solidFill>
        <a:ln w="9525" cmpd="sng">
          <a:solidFill>
            <a:schemeClr val="lt1">
              <a:shade val="50000"/>
            </a:schemeClr>
          </a:solidFill>
        </a:ln>
        <a:effectLst>
          <a:innerShdw blurRad="114300">
            <a:prstClr val="black"/>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50">
              <a:ln w="0"/>
              <a:solidFill>
                <a:schemeClr val="bg2"/>
              </a:solidFill>
              <a:effectLst>
                <a:innerShdw blurRad="63500" dist="50800" dir="13500000">
                  <a:srgbClr val="000000">
                    <a:alpha val="50000"/>
                  </a:srgbClr>
                </a:innerShdw>
              </a:effectLst>
              <a:latin typeface="Georgia" panose="02040502050405020303" pitchFamily="18" charset="0"/>
            </a:rPr>
            <a:t>AVERAGE CUSTOMER                            RATING:</a:t>
          </a:r>
          <a:r>
            <a:rPr lang="en-US" sz="1400" b="1" cap="none" spc="50">
              <a:ln w="0"/>
              <a:solidFill>
                <a:schemeClr val="bg2"/>
              </a:solidFill>
              <a:effectLst>
                <a:innerShdw blurRad="63500" dist="50800" dir="13500000">
                  <a:srgbClr val="000000">
                    <a:alpha val="50000"/>
                  </a:srgbClr>
                </a:innerShdw>
              </a:effectLst>
              <a:latin typeface="+mj-lt"/>
            </a:rPr>
            <a:t>4.564</a:t>
          </a:r>
        </a:p>
      </xdr:txBody>
    </xdr:sp>
    <xdr:clientData/>
  </xdr:twoCellAnchor>
  <xdr:twoCellAnchor>
    <xdr:from>
      <xdr:col>0</xdr:col>
      <xdr:colOff>63500</xdr:colOff>
      <xdr:row>10</xdr:row>
      <xdr:rowOff>47625</xdr:rowOff>
    </xdr:from>
    <xdr:to>
      <xdr:col>5</xdr:col>
      <xdr:colOff>76200</xdr:colOff>
      <xdr:row>22</xdr:row>
      <xdr:rowOff>12700</xdr:rowOff>
    </xdr:to>
    <xdr:graphicFrame macro="">
      <xdr:nvGraphicFramePr>
        <xdr:cNvPr id="9" name="Chart 8">
          <a:extLst>
            <a:ext uri="{FF2B5EF4-FFF2-40B4-BE49-F238E27FC236}">
              <a16:creationId xmlns:a16="http://schemas.microsoft.com/office/drawing/2014/main" id="{4354288A-1396-4072-9901-97457AD64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209551</xdr:colOff>
      <xdr:row>10</xdr:row>
      <xdr:rowOff>120650</xdr:rowOff>
    </xdr:from>
    <xdr:to>
      <xdr:col>10</xdr:col>
      <xdr:colOff>374650</xdr:colOff>
      <xdr:row>22</xdr:row>
      <xdr:rowOff>17461</xdr:rowOff>
    </xdr:to>
    <xdr:graphicFrame macro="">
      <xdr:nvGraphicFramePr>
        <xdr:cNvPr id="10" name="Chart 9">
          <a:extLst>
            <a:ext uri="{FF2B5EF4-FFF2-40B4-BE49-F238E27FC236}">
              <a16:creationId xmlns:a16="http://schemas.microsoft.com/office/drawing/2014/main" id="{1D00434F-3998-4ED5-AEA8-25105D30D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476250</xdr:colOff>
      <xdr:row>10</xdr:row>
      <xdr:rowOff>114301</xdr:rowOff>
    </xdr:from>
    <xdr:to>
      <xdr:col>16</xdr:col>
      <xdr:colOff>107950</xdr:colOff>
      <xdr:row>22</xdr:row>
      <xdr:rowOff>150813</xdr:rowOff>
    </xdr:to>
    <xdr:graphicFrame macro="">
      <xdr:nvGraphicFramePr>
        <xdr:cNvPr id="11" name="Chart 10">
          <a:extLst>
            <a:ext uri="{FF2B5EF4-FFF2-40B4-BE49-F238E27FC236}">
              <a16:creationId xmlns:a16="http://schemas.microsoft.com/office/drawing/2014/main" id="{A7714AB0-7259-46E5-B0C3-6A5E313AA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222251</xdr:colOff>
      <xdr:row>10</xdr:row>
      <xdr:rowOff>133350</xdr:rowOff>
    </xdr:from>
    <xdr:to>
      <xdr:col>21</xdr:col>
      <xdr:colOff>317501</xdr:colOff>
      <xdr:row>21</xdr:row>
      <xdr:rowOff>152400</xdr:rowOff>
    </xdr:to>
    <xdr:graphicFrame macro="">
      <xdr:nvGraphicFramePr>
        <xdr:cNvPr id="12" name="Chart 11">
          <a:extLst>
            <a:ext uri="{FF2B5EF4-FFF2-40B4-BE49-F238E27FC236}">
              <a16:creationId xmlns:a16="http://schemas.microsoft.com/office/drawing/2014/main" id="{445DAB4B-7208-4C59-80A2-C31831BE3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68648</xdr:colOff>
      <xdr:row>23</xdr:row>
      <xdr:rowOff>128716</xdr:rowOff>
    </xdr:from>
    <xdr:to>
      <xdr:col>5</xdr:col>
      <xdr:colOff>85811</xdr:colOff>
      <xdr:row>37</xdr:row>
      <xdr:rowOff>71265</xdr:rowOff>
    </xdr:to>
    <xdr:graphicFrame macro="">
      <xdr:nvGraphicFramePr>
        <xdr:cNvPr id="13" name="Chart 12">
          <a:extLst>
            <a:ext uri="{FF2B5EF4-FFF2-40B4-BE49-F238E27FC236}">
              <a16:creationId xmlns:a16="http://schemas.microsoft.com/office/drawing/2014/main" id="{88A1AFDF-EF67-4D1D-BD49-FDBEE61C5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420473</xdr:colOff>
      <xdr:row>23</xdr:row>
      <xdr:rowOff>102973</xdr:rowOff>
    </xdr:from>
    <xdr:to>
      <xdr:col>12</xdr:col>
      <xdr:colOff>163041</xdr:colOff>
      <xdr:row>37</xdr:row>
      <xdr:rowOff>94392</xdr:rowOff>
    </xdr:to>
    <xdr:graphicFrame macro="">
      <xdr:nvGraphicFramePr>
        <xdr:cNvPr id="14" name="Chart 13">
          <a:extLst>
            <a:ext uri="{FF2B5EF4-FFF2-40B4-BE49-F238E27FC236}">
              <a16:creationId xmlns:a16="http://schemas.microsoft.com/office/drawing/2014/main" id="{41D0C18B-B6B7-4A1C-A026-5826C50BB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480540</xdr:colOff>
      <xdr:row>23</xdr:row>
      <xdr:rowOff>102973</xdr:rowOff>
    </xdr:from>
    <xdr:to>
      <xdr:col>19</xdr:col>
      <xdr:colOff>524218</xdr:colOff>
      <xdr:row>37</xdr:row>
      <xdr:rowOff>64572</xdr:rowOff>
    </xdr:to>
    <xdr:graphicFrame macro="">
      <xdr:nvGraphicFramePr>
        <xdr:cNvPr id="15" name="Chart 14">
          <a:extLst>
            <a:ext uri="{FF2B5EF4-FFF2-40B4-BE49-F238E27FC236}">
              <a16:creationId xmlns:a16="http://schemas.microsoft.com/office/drawing/2014/main" id="{1D7E255E-FDF4-4AA5-9984-9BDCA9FC0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283175</xdr:colOff>
      <xdr:row>2</xdr:row>
      <xdr:rowOff>42905</xdr:rowOff>
    </xdr:from>
    <xdr:to>
      <xdr:col>12</xdr:col>
      <xdr:colOff>588318</xdr:colOff>
      <xdr:row>5</xdr:row>
      <xdr:rowOff>120133</xdr:rowOff>
    </xdr:to>
    <xdr:pic>
      <xdr:nvPicPr>
        <xdr:cNvPr id="17" name="Graphic 16" descr="Car with solid fill">
          <a:extLst>
            <a:ext uri="{FF2B5EF4-FFF2-40B4-BE49-F238E27FC236}">
              <a16:creationId xmlns:a16="http://schemas.microsoft.com/office/drawing/2014/main" id="{0A3FA3C0-A89B-3E15-1C20-1F806D7E19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984999" y="403310"/>
          <a:ext cx="914400" cy="617837"/>
        </a:xfrm>
        <a:prstGeom prst="rect">
          <a:avLst/>
        </a:prstGeom>
      </xdr:spPr>
    </xdr:pic>
    <xdr:clientData/>
  </xdr:twoCellAnchor>
  <xdr:twoCellAnchor editAs="oneCell">
    <xdr:from>
      <xdr:col>0</xdr:col>
      <xdr:colOff>174625</xdr:colOff>
      <xdr:row>37</xdr:row>
      <xdr:rowOff>174625</xdr:rowOff>
    </xdr:from>
    <xdr:to>
      <xdr:col>3</xdr:col>
      <xdr:colOff>169862</xdr:colOff>
      <xdr:row>52</xdr:row>
      <xdr:rowOff>55560</xdr:rowOff>
    </xdr:to>
    <mc:AlternateContent xmlns:mc="http://schemas.openxmlformats.org/markup-compatibility/2006" xmlns:a14="http://schemas.microsoft.com/office/drawing/2010/main">
      <mc:Choice Requires="a14">
        <xdr:graphicFrame macro="">
          <xdr:nvGraphicFramePr>
            <xdr:cNvPr id="18" name="City 1">
              <a:extLst>
                <a:ext uri="{FF2B5EF4-FFF2-40B4-BE49-F238E27FC236}">
                  <a16:creationId xmlns:a16="http://schemas.microsoft.com/office/drawing/2014/main" id="{95EF13F2-8A8F-47FB-8B1B-D314DA3569C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4625" y="6929438"/>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481371</xdr:colOff>
      <xdr:row>37</xdr:row>
      <xdr:rowOff>184355</xdr:rowOff>
    </xdr:from>
    <xdr:to>
      <xdr:col>6</xdr:col>
      <xdr:colOff>466622</xdr:colOff>
      <xdr:row>51</xdr:row>
      <xdr:rowOff>127001</xdr:rowOff>
    </xdr:to>
    <mc:AlternateContent xmlns:mc="http://schemas.openxmlformats.org/markup-compatibility/2006">
      <mc:Choice xmlns:a14="http://schemas.microsoft.com/office/drawing/2010/main" Requires="a14">
        <xdr:graphicFrame macro="">
          <xdr:nvGraphicFramePr>
            <xdr:cNvPr id="16" name="Vehicle_Type 1">
              <a:extLst>
                <a:ext uri="{FF2B5EF4-FFF2-40B4-BE49-F238E27FC236}">
                  <a16:creationId xmlns:a16="http://schemas.microsoft.com/office/drawing/2014/main" id="{90BD2754-1EDF-4D86-9568-B3EE7882ADEB}"/>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dr:sp macro="" textlink="">
          <xdr:nvSpPr>
            <xdr:cNvPr id="0" name=""/>
            <xdr:cNvSpPr>
              <a:spLocks noTextEdit="1"/>
            </xdr:cNvSpPr>
          </xdr:nvSpPr>
          <xdr:spPr>
            <a:xfrm>
              <a:off x="2324919" y="7384436"/>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307258</xdr:colOff>
      <xdr:row>38</xdr:row>
      <xdr:rowOff>143388</xdr:rowOff>
    </xdr:from>
    <xdr:to>
      <xdr:col>10</xdr:col>
      <xdr:colOff>292510</xdr:colOff>
      <xdr:row>52</xdr:row>
      <xdr:rowOff>86033</xdr:rowOff>
    </xdr:to>
    <mc:AlternateContent xmlns:mc="http://schemas.openxmlformats.org/markup-compatibility/2006">
      <mc:Choice xmlns:a14="http://schemas.microsoft.com/office/drawing/2010/main" Requires="a14">
        <xdr:graphicFrame macro="">
          <xdr:nvGraphicFramePr>
            <xdr:cNvPr id="19" name="Date 1">
              <a:extLst>
                <a:ext uri="{FF2B5EF4-FFF2-40B4-BE49-F238E27FC236}">
                  <a16:creationId xmlns:a16="http://schemas.microsoft.com/office/drawing/2014/main" id="{075F7545-10AB-42B8-9E42-A0203EF32649}"/>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4608871" y="753806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4.447298148145" createdVersion="8" refreshedVersion="8" minRefreshableVersion="3" recordCount="50" xr:uid="{4CD65685-D58B-412F-8D4B-D5EB93B79350}">
  <cacheSource type="worksheet">
    <worksheetSource name="Table1"/>
  </cacheSource>
  <cacheFields count="14">
    <cacheField name="Ride_ID" numFmtId="0">
      <sharedItems count="50">
        <s v="UBR001"/>
        <s v="UBR002"/>
        <s v="UBR003"/>
        <s v="UBR004"/>
        <s v="UBR005"/>
        <s v="UBR006"/>
        <s v="UBR007"/>
        <s v="UBR008"/>
        <s v="UBR009"/>
        <s v="UBR010"/>
        <s v="UBR011"/>
        <s v="UBR012"/>
        <s v="UBR013"/>
        <s v="UBR014"/>
        <s v="UBR015"/>
        <s v="UBR016"/>
        <s v="UBR017"/>
        <s v="UBR018"/>
        <s v="UBR019"/>
        <s v="UBR020"/>
        <s v="UBR021"/>
        <s v="UBR022"/>
        <s v="UBR023"/>
        <s v="UBR024"/>
        <s v="UBR025"/>
        <s v="UBR026"/>
        <s v="UBR027"/>
        <s v="UBR028"/>
        <s v="UBR029"/>
        <s v="UBR030"/>
        <s v="UBR031"/>
        <s v="UBR032"/>
        <s v="UBR033"/>
        <s v="UBR034"/>
        <s v="UBR035"/>
        <s v="UBR036"/>
        <s v="UBR037"/>
        <s v="UBR038"/>
        <s v="UBR039"/>
        <s v="UBR040"/>
        <s v="UBR041"/>
        <s v="UBR042"/>
        <s v="UBR043"/>
        <s v="UBR044"/>
        <s v="UBR045"/>
        <s v="UBR046"/>
        <s v="UBR047"/>
        <s v="UBR048"/>
        <s v="UBR049"/>
        <s v="UBR050"/>
      </sharedItems>
    </cacheField>
    <cacheField name="Date" numFmtId="15">
      <sharedItems containsSemiMixedTypes="0" containsNonDate="0" containsDate="1" containsString="0" minDate="2026-08-01T00:00:00" maxDate="2026-08-10T00:00:00" count="9">
        <d v="2026-08-01T00:00:00"/>
        <d v="2026-08-02T00:00:00"/>
        <d v="2026-08-03T00:00:00"/>
        <d v="2026-08-04T00:00:00"/>
        <d v="2026-08-05T00:00:00"/>
        <d v="2026-08-06T00:00:00"/>
        <d v="2026-08-07T00:00:00"/>
        <d v="2026-08-08T00:00:00"/>
        <d v="2026-08-09T00:00:00"/>
      </sharedItems>
    </cacheField>
    <cacheField name="City" numFmtId="0">
      <sharedItems count="7">
        <s v="Bengaluru"/>
        <s v="Mumbai"/>
        <s v="Delhi"/>
        <s v="Hyderabad"/>
        <s v="Chennai"/>
        <s v="Pune"/>
        <s v="Kochi"/>
      </sharedItems>
    </cacheField>
    <cacheField name="Vehicle_Type" numFmtId="0">
      <sharedItems count="4">
        <s v="UberGo"/>
        <s v="UberXL"/>
        <s v="Premier"/>
        <s v="Auto"/>
      </sharedItems>
    </cacheField>
    <cacheField name="Trip_Type" numFmtId="0">
      <sharedItems count="2">
        <s v="City"/>
        <s v="Airport"/>
      </sharedItems>
    </cacheField>
    <cacheField name="Customer_Type" numFmtId="0">
      <sharedItems count="3">
        <s v="Regular"/>
        <s v="New"/>
        <s v="Premium"/>
      </sharedItems>
    </cacheField>
    <cacheField name="Payment_Mode" numFmtId="0">
      <sharedItems count="3">
        <s v="UPI"/>
        <s v="Card"/>
        <s v="Cash"/>
      </sharedItems>
    </cacheField>
    <cacheField name="Distance_KM" numFmtId="0">
      <sharedItems containsSemiMixedTypes="0" containsString="0" containsNumber="1" minValue="3.2" maxValue="28.7"/>
    </cacheField>
    <cacheField name="Fare_INR" numFmtId="0">
      <sharedItems containsSemiMixedTypes="0" containsString="0" containsNumber="1" containsInteger="1" minValue="80" maxValue="890" count="48">
        <n v="245"/>
        <n v="385"/>
        <n v="720"/>
        <n v="190"/>
        <n v="410"/>
        <n v="215"/>
        <n v="105"/>
        <n v="890"/>
        <n v="290"/>
        <n v="540"/>
        <n v="560"/>
        <n v="175"/>
        <n v="90"/>
        <n v="680"/>
        <n v="260"/>
        <n v="450"/>
        <n v="185"/>
        <n v="320"/>
        <n v="840"/>
        <n v="115"/>
        <n v="275"/>
        <n v="650"/>
        <n v="225"/>
        <n v="80"/>
        <n v="525"/>
        <n v="335"/>
        <n v="165"/>
        <n v="240"/>
        <n v="610"/>
        <n v="95"/>
        <n v="795"/>
        <n v="270"/>
        <n v="195"/>
        <n v="490"/>
        <n v="220"/>
        <n v="705"/>
        <n v="155"/>
        <n v="110"/>
        <n v="330"/>
        <n v="495"/>
        <n v="92"/>
        <n v="575"/>
        <n v="255"/>
        <n v="300"/>
        <n v="850"/>
        <n v="230"/>
        <n v="625"/>
        <n v="285"/>
      </sharedItems>
    </cacheField>
    <cacheField name="Discount_INR" numFmtId="0">
      <sharedItems containsSemiMixedTypes="0" containsString="0" containsNumber="1" containsInteger="1" minValue="0" maxValue="100"/>
    </cacheField>
    <cacheField name="Driver_Rating" numFmtId="0">
      <sharedItems containsSemiMixedTypes="0" containsString="0" containsNumber="1" minValue="4.2" maxValue="4.9000000000000004"/>
    </cacheField>
    <cacheField name="Customer_Rating" numFmtId="0">
      <sharedItems containsSemiMixedTypes="0" containsString="0" containsNumber="1" minValue="4" maxValue="4.9000000000000004"/>
    </cacheField>
    <cacheField name="Trip_Duration_Min" numFmtId="0">
      <sharedItems containsSemiMixedTypes="0" containsString="0" containsNumber="1" containsInteger="1" minValue="14" maxValue="67"/>
    </cacheField>
    <cacheField name="Status" numFmtId="0">
      <sharedItems count="2">
        <s v="Completed"/>
        <s v="Cancelled"/>
      </sharedItems>
    </cacheField>
  </cacheFields>
  <extLst>
    <ext xmlns:x14="http://schemas.microsoft.com/office/spreadsheetml/2009/9/main" uri="{725AE2AE-9491-48be-B2B4-4EB974FC3084}">
      <x14:pivotCacheDefinition pivotCacheId="1449145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n v="8.5"/>
    <x v="0"/>
    <n v="20"/>
    <n v="4.8"/>
    <n v="4.7"/>
    <n v="28"/>
    <x v="0"/>
  </r>
  <r>
    <x v="1"/>
    <x v="0"/>
    <x v="1"/>
    <x v="0"/>
    <x v="0"/>
    <x v="1"/>
    <x v="1"/>
    <n v="12.2"/>
    <x v="1"/>
    <n v="50"/>
    <n v="4.5999999999999996"/>
    <n v="4.5"/>
    <n v="41"/>
    <x v="0"/>
  </r>
  <r>
    <x v="2"/>
    <x v="0"/>
    <x v="2"/>
    <x v="1"/>
    <x v="1"/>
    <x v="0"/>
    <x v="0"/>
    <n v="24.5"/>
    <x v="2"/>
    <n v="80"/>
    <n v="4.9000000000000004"/>
    <n v="4.8"/>
    <n v="55"/>
    <x v="0"/>
  </r>
  <r>
    <x v="3"/>
    <x v="0"/>
    <x v="3"/>
    <x v="0"/>
    <x v="0"/>
    <x v="0"/>
    <x v="2"/>
    <n v="6.8"/>
    <x v="3"/>
    <n v="0"/>
    <n v="4.5"/>
    <n v="4.5999999999999996"/>
    <n v="22"/>
    <x v="0"/>
  </r>
  <r>
    <x v="4"/>
    <x v="0"/>
    <x v="4"/>
    <x v="2"/>
    <x v="0"/>
    <x v="2"/>
    <x v="1"/>
    <n v="10.4"/>
    <x v="4"/>
    <n v="30"/>
    <n v="4.9000000000000004"/>
    <n v="4.9000000000000004"/>
    <n v="35"/>
    <x v="0"/>
  </r>
  <r>
    <x v="5"/>
    <x v="1"/>
    <x v="5"/>
    <x v="0"/>
    <x v="0"/>
    <x v="1"/>
    <x v="0"/>
    <n v="7.2"/>
    <x v="5"/>
    <n v="25"/>
    <n v="4.7"/>
    <n v="4.4000000000000004"/>
    <n v="25"/>
    <x v="0"/>
  </r>
  <r>
    <x v="6"/>
    <x v="1"/>
    <x v="0"/>
    <x v="3"/>
    <x v="0"/>
    <x v="0"/>
    <x v="0"/>
    <n v="4.5"/>
    <x v="6"/>
    <n v="10"/>
    <n v="4.5999999999999996"/>
    <n v="4.5"/>
    <n v="18"/>
    <x v="0"/>
  </r>
  <r>
    <x v="7"/>
    <x v="1"/>
    <x v="1"/>
    <x v="1"/>
    <x v="1"/>
    <x v="2"/>
    <x v="1"/>
    <n v="28.7"/>
    <x v="7"/>
    <n v="100"/>
    <n v="4.8"/>
    <n v="4.9000000000000004"/>
    <n v="67"/>
    <x v="0"/>
  </r>
  <r>
    <x v="8"/>
    <x v="1"/>
    <x v="2"/>
    <x v="0"/>
    <x v="0"/>
    <x v="0"/>
    <x v="2"/>
    <n v="9.8000000000000007"/>
    <x v="8"/>
    <n v="0"/>
    <n v="4.4000000000000004"/>
    <n v="4.2"/>
    <n v="31"/>
    <x v="0"/>
  </r>
  <r>
    <x v="9"/>
    <x v="1"/>
    <x v="6"/>
    <x v="0"/>
    <x v="1"/>
    <x v="1"/>
    <x v="0"/>
    <n v="18.5"/>
    <x v="9"/>
    <n v="60"/>
    <n v="4.7"/>
    <n v="4.5999999999999996"/>
    <n v="44"/>
    <x v="0"/>
  </r>
  <r>
    <x v="10"/>
    <x v="2"/>
    <x v="0"/>
    <x v="2"/>
    <x v="0"/>
    <x v="2"/>
    <x v="1"/>
    <n v="14.2"/>
    <x v="10"/>
    <n v="40"/>
    <n v="4.9000000000000004"/>
    <n v="4.8"/>
    <n v="43"/>
    <x v="0"/>
  </r>
  <r>
    <x v="11"/>
    <x v="2"/>
    <x v="1"/>
    <x v="0"/>
    <x v="0"/>
    <x v="0"/>
    <x v="0"/>
    <n v="5.7"/>
    <x v="11"/>
    <n v="15"/>
    <n v="4.5999999999999996"/>
    <n v="4.7"/>
    <n v="20"/>
    <x v="0"/>
  </r>
  <r>
    <x v="12"/>
    <x v="2"/>
    <x v="2"/>
    <x v="3"/>
    <x v="0"/>
    <x v="1"/>
    <x v="2"/>
    <n v="3.8"/>
    <x v="12"/>
    <n v="0"/>
    <n v="4.3"/>
    <n v="4.0999999999999996"/>
    <n v="16"/>
    <x v="0"/>
  </r>
  <r>
    <x v="13"/>
    <x v="2"/>
    <x v="3"/>
    <x v="1"/>
    <x v="1"/>
    <x v="0"/>
    <x v="1"/>
    <n v="22.4"/>
    <x v="13"/>
    <n v="70"/>
    <n v="4.8"/>
    <n v="4.7"/>
    <n v="52"/>
    <x v="0"/>
  </r>
  <r>
    <x v="14"/>
    <x v="2"/>
    <x v="4"/>
    <x v="0"/>
    <x v="0"/>
    <x v="0"/>
    <x v="0"/>
    <n v="8.9"/>
    <x v="14"/>
    <n v="20"/>
    <n v="4.7"/>
    <n v="4.5999999999999996"/>
    <n v="29"/>
    <x v="0"/>
  </r>
  <r>
    <x v="15"/>
    <x v="2"/>
    <x v="5"/>
    <x v="2"/>
    <x v="0"/>
    <x v="2"/>
    <x v="1"/>
    <n v="11.5"/>
    <x v="15"/>
    <n v="35"/>
    <n v="4.9000000000000004"/>
    <n v="4.9000000000000004"/>
    <n v="37"/>
    <x v="0"/>
  </r>
  <r>
    <x v="16"/>
    <x v="3"/>
    <x v="0"/>
    <x v="0"/>
    <x v="0"/>
    <x v="1"/>
    <x v="0"/>
    <n v="6.4"/>
    <x v="16"/>
    <n v="20"/>
    <n v="4.5"/>
    <n v="4.3"/>
    <n v="23"/>
    <x v="1"/>
  </r>
  <r>
    <x v="17"/>
    <x v="3"/>
    <x v="1"/>
    <x v="0"/>
    <x v="0"/>
    <x v="0"/>
    <x v="2"/>
    <n v="10.6"/>
    <x v="17"/>
    <n v="0"/>
    <n v="4.7"/>
    <n v="4.5"/>
    <n v="34"/>
    <x v="0"/>
  </r>
  <r>
    <x v="18"/>
    <x v="3"/>
    <x v="2"/>
    <x v="2"/>
    <x v="1"/>
    <x v="2"/>
    <x v="1"/>
    <n v="26.3"/>
    <x v="18"/>
    <n v="90"/>
    <n v="4.9000000000000004"/>
    <n v="4.8"/>
    <n v="61"/>
    <x v="0"/>
  </r>
  <r>
    <x v="19"/>
    <x v="3"/>
    <x v="6"/>
    <x v="3"/>
    <x v="0"/>
    <x v="0"/>
    <x v="0"/>
    <n v="5.0999999999999996"/>
    <x v="19"/>
    <n v="10"/>
    <n v="4.5"/>
    <n v="4.4000000000000004"/>
    <n v="19"/>
    <x v="0"/>
  </r>
  <r>
    <x v="20"/>
    <x v="3"/>
    <x v="3"/>
    <x v="0"/>
    <x v="0"/>
    <x v="0"/>
    <x v="0"/>
    <n v="9.3000000000000007"/>
    <x v="20"/>
    <n v="25"/>
    <n v="4.5999999999999996"/>
    <n v="4.7"/>
    <n v="30"/>
    <x v="0"/>
  </r>
  <r>
    <x v="21"/>
    <x v="3"/>
    <x v="4"/>
    <x v="1"/>
    <x v="1"/>
    <x v="1"/>
    <x v="1"/>
    <n v="21.8"/>
    <x v="21"/>
    <n v="75"/>
    <n v="4.7"/>
    <n v="4.5"/>
    <n v="50"/>
    <x v="0"/>
  </r>
  <r>
    <x v="22"/>
    <x v="4"/>
    <x v="5"/>
    <x v="0"/>
    <x v="0"/>
    <x v="0"/>
    <x v="2"/>
    <n v="7.6"/>
    <x v="22"/>
    <n v="0"/>
    <n v="4.4000000000000004"/>
    <n v="4.3"/>
    <n v="26"/>
    <x v="0"/>
  </r>
  <r>
    <x v="23"/>
    <x v="4"/>
    <x v="0"/>
    <x v="3"/>
    <x v="0"/>
    <x v="1"/>
    <x v="0"/>
    <n v="3.2"/>
    <x v="23"/>
    <n v="5"/>
    <n v="4.5"/>
    <n v="4.2"/>
    <n v="14"/>
    <x v="0"/>
  </r>
  <r>
    <x v="24"/>
    <x v="4"/>
    <x v="1"/>
    <x v="2"/>
    <x v="0"/>
    <x v="2"/>
    <x v="1"/>
    <n v="13.7"/>
    <x v="24"/>
    <n v="45"/>
    <n v="4.9000000000000004"/>
    <n v="4.9000000000000004"/>
    <n v="42"/>
    <x v="0"/>
  </r>
  <r>
    <x v="25"/>
    <x v="4"/>
    <x v="2"/>
    <x v="0"/>
    <x v="0"/>
    <x v="0"/>
    <x v="0"/>
    <n v="11.4"/>
    <x v="25"/>
    <n v="30"/>
    <n v="4.8"/>
    <n v="4.7"/>
    <n v="36"/>
    <x v="0"/>
  </r>
  <r>
    <x v="26"/>
    <x v="4"/>
    <x v="3"/>
    <x v="0"/>
    <x v="0"/>
    <x v="1"/>
    <x v="2"/>
    <n v="5.9"/>
    <x v="26"/>
    <n v="0"/>
    <n v="4.3"/>
    <n v="4.0999999999999996"/>
    <n v="21"/>
    <x v="1"/>
  </r>
  <r>
    <x v="27"/>
    <x v="4"/>
    <x v="4"/>
    <x v="0"/>
    <x v="0"/>
    <x v="0"/>
    <x v="0"/>
    <n v="8.1999999999999993"/>
    <x v="27"/>
    <n v="20"/>
    <n v="4.5999999999999996"/>
    <n v="4.5"/>
    <n v="27"/>
    <x v="0"/>
  </r>
  <r>
    <x v="28"/>
    <x v="5"/>
    <x v="6"/>
    <x v="2"/>
    <x v="1"/>
    <x v="2"/>
    <x v="1"/>
    <n v="19.600000000000001"/>
    <x v="28"/>
    <n v="60"/>
    <n v="4.8"/>
    <n v="4.8"/>
    <n v="47"/>
    <x v="0"/>
  </r>
  <r>
    <x v="29"/>
    <x v="5"/>
    <x v="5"/>
    <x v="3"/>
    <x v="0"/>
    <x v="0"/>
    <x v="0"/>
    <n v="4.2"/>
    <x v="29"/>
    <n v="5"/>
    <n v="4.5"/>
    <n v="4.4000000000000004"/>
    <n v="17"/>
    <x v="0"/>
  </r>
  <r>
    <x v="30"/>
    <x v="5"/>
    <x v="0"/>
    <x v="1"/>
    <x v="1"/>
    <x v="0"/>
    <x v="1"/>
    <n v="25.8"/>
    <x v="30"/>
    <n v="85"/>
    <n v="4.9000000000000004"/>
    <n v="4.8"/>
    <n v="59"/>
    <x v="0"/>
  </r>
  <r>
    <x v="31"/>
    <x v="5"/>
    <x v="1"/>
    <x v="0"/>
    <x v="0"/>
    <x v="1"/>
    <x v="0"/>
    <n v="9.1"/>
    <x v="31"/>
    <n v="30"/>
    <n v="4.5999999999999996"/>
    <n v="4.5"/>
    <n v="30"/>
    <x v="0"/>
  </r>
  <r>
    <x v="32"/>
    <x v="5"/>
    <x v="2"/>
    <x v="0"/>
    <x v="0"/>
    <x v="0"/>
    <x v="2"/>
    <n v="6.7"/>
    <x v="32"/>
    <n v="0"/>
    <n v="4.4000000000000004"/>
    <n v="4.3"/>
    <n v="23"/>
    <x v="0"/>
  </r>
  <r>
    <x v="33"/>
    <x v="6"/>
    <x v="3"/>
    <x v="2"/>
    <x v="0"/>
    <x v="2"/>
    <x v="1"/>
    <n v="12.8"/>
    <x v="33"/>
    <n v="40"/>
    <n v="4.9000000000000004"/>
    <n v="4.9000000000000004"/>
    <n v="39"/>
    <x v="0"/>
  </r>
  <r>
    <x v="34"/>
    <x v="6"/>
    <x v="4"/>
    <x v="0"/>
    <x v="0"/>
    <x v="0"/>
    <x v="0"/>
    <n v="7.5"/>
    <x v="34"/>
    <n v="15"/>
    <n v="4.7"/>
    <n v="4.5999999999999996"/>
    <n v="25"/>
    <x v="0"/>
  </r>
  <r>
    <x v="35"/>
    <x v="6"/>
    <x v="5"/>
    <x v="1"/>
    <x v="1"/>
    <x v="0"/>
    <x v="1"/>
    <n v="23.6"/>
    <x v="35"/>
    <n v="70"/>
    <n v="4.8"/>
    <n v="4.7"/>
    <n v="54"/>
    <x v="0"/>
  </r>
  <r>
    <x v="36"/>
    <x v="6"/>
    <x v="0"/>
    <x v="0"/>
    <x v="0"/>
    <x v="1"/>
    <x v="0"/>
    <n v="5.3"/>
    <x v="36"/>
    <n v="20"/>
    <n v="4.5"/>
    <n v="4.4000000000000004"/>
    <n v="19"/>
    <x v="0"/>
  </r>
  <r>
    <x v="37"/>
    <x v="6"/>
    <x v="1"/>
    <x v="3"/>
    <x v="0"/>
    <x v="0"/>
    <x v="2"/>
    <n v="4.7"/>
    <x v="37"/>
    <n v="0"/>
    <n v="4.4000000000000004"/>
    <n v="4.2"/>
    <n v="18"/>
    <x v="1"/>
  </r>
  <r>
    <x v="38"/>
    <x v="6"/>
    <x v="2"/>
    <x v="0"/>
    <x v="0"/>
    <x v="2"/>
    <x v="1"/>
    <n v="10.9"/>
    <x v="38"/>
    <n v="25"/>
    <n v="4.8"/>
    <n v="4.7"/>
    <n v="35"/>
    <x v="0"/>
  </r>
  <r>
    <x v="39"/>
    <x v="6"/>
    <x v="6"/>
    <x v="0"/>
    <x v="1"/>
    <x v="0"/>
    <x v="0"/>
    <n v="16.8"/>
    <x v="39"/>
    <n v="50"/>
    <n v="4.7"/>
    <n v="4.5999999999999996"/>
    <n v="40"/>
    <x v="0"/>
  </r>
  <r>
    <x v="40"/>
    <x v="7"/>
    <x v="3"/>
    <x v="3"/>
    <x v="0"/>
    <x v="1"/>
    <x v="0"/>
    <n v="3.9"/>
    <x v="40"/>
    <n v="5"/>
    <n v="4.5"/>
    <n v="4.3"/>
    <n v="15"/>
    <x v="0"/>
  </r>
  <r>
    <x v="41"/>
    <x v="7"/>
    <x v="4"/>
    <x v="2"/>
    <x v="0"/>
    <x v="2"/>
    <x v="1"/>
    <n v="15.2"/>
    <x v="41"/>
    <n v="50"/>
    <n v="4.9000000000000004"/>
    <n v="4.8"/>
    <n v="45"/>
    <x v="0"/>
  </r>
  <r>
    <x v="42"/>
    <x v="7"/>
    <x v="5"/>
    <x v="0"/>
    <x v="0"/>
    <x v="0"/>
    <x v="2"/>
    <n v="8.8000000000000007"/>
    <x v="42"/>
    <n v="0"/>
    <n v="4.5999999999999996"/>
    <n v="4.5"/>
    <n v="28"/>
    <x v="0"/>
  </r>
  <r>
    <x v="43"/>
    <x v="7"/>
    <x v="0"/>
    <x v="0"/>
    <x v="0"/>
    <x v="0"/>
    <x v="0"/>
    <n v="10.1"/>
    <x v="43"/>
    <n v="25"/>
    <n v="4.8"/>
    <n v="4.7"/>
    <n v="33"/>
    <x v="0"/>
  </r>
  <r>
    <x v="44"/>
    <x v="7"/>
    <x v="1"/>
    <x v="1"/>
    <x v="1"/>
    <x v="2"/>
    <x v="1"/>
    <n v="27.4"/>
    <x v="44"/>
    <n v="100"/>
    <n v="4.9000000000000004"/>
    <n v="4.9000000000000004"/>
    <n v="64"/>
    <x v="0"/>
  </r>
  <r>
    <x v="45"/>
    <x v="7"/>
    <x v="2"/>
    <x v="3"/>
    <x v="0"/>
    <x v="1"/>
    <x v="2"/>
    <n v="4.0999999999999996"/>
    <x v="29"/>
    <n v="0"/>
    <n v="4.2"/>
    <n v="4"/>
    <n v="17"/>
    <x v="0"/>
  </r>
  <r>
    <x v="46"/>
    <x v="8"/>
    <x v="3"/>
    <x v="0"/>
    <x v="0"/>
    <x v="0"/>
    <x v="0"/>
    <n v="7.9"/>
    <x v="45"/>
    <n v="20"/>
    <n v="4.7"/>
    <n v="4.5999999999999996"/>
    <n v="26"/>
    <x v="0"/>
  </r>
  <r>
    <x v="47"/>
    <x v="8"/>
    <x v="4"/>
    <x v="1"/>
    <x v="1"/>
    <x v="0"/>
    <x v="1"/>
    <n v="20.5"/>
    <x v="46"/>
    <n v="65"/>
    <n v="4.8"/>
    <n v="4.7"/>
    <n v="49"/>
    <x v="0"/>
  </r>
  <r>
    <x v="48"/>
    <x v="8"/>
    <x v="6"/>
    <x v="3"/>
    <x v="0"/>
    <x v="1"/>
    <x v="0"/>
    <n v="4.8"/>
    <x v="6"/>
    <n v="10"/>
    <n v="4.5999999999999996"/>
    <n v="4.4000000000000004"/>
    <n v="18"/>
    <x v="0"/>
  </r>
  <r>
    <x v="49"/>
    <x v="8"/>
    <x v="5"/>
    <x v="0"/>
    <x v="0"/>
    <x v="0"/>
    <x v="0"/>
    <n v="9.6"/>
    <x v="47"/>
    <n v="25"/>
    <n v="4.7"/>
    <n v="4.5999999999999996"/>
    <n v="3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5D25C2-D60B-4472-9A2B-7994B2A9EFB8}" name="PivotTable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14">
    <pivotField showAll="0"/>
    <pivotField numFmtId="15" showAll="0"/>
    <pivotField axis="axisRow" showAll="0">
      <items count="8">
        <item x="0"/>
        <item x="4"/>
        <item x="2"/>
        <item x="3"/>
        <item x="6"/>
        <item x="1"/>
        <item x="5"/>
        <item t="default"/>
      </items>
    </pivotField>
    <pivotField showAll="0"/>
    <pivotField showAll="0"/>
    <pivotField showAll="0"/>
    <pivotField showAll="0"/>
    <pivotField showAll="0"/>
    <pivotField dataField="1" showAll="0">
      <items count="49">
        <item x="23"/>
        <item x="12"/>
        <item x="40"/>
        <item x="29"/>
        <item x="6"/>
        <item x="37"/>
        <item x="19"/>
        <item x="36"/>
        <item x="26"/>
        <item x="11"/>
        <item x="16"/>
        <item x="3"/>
        <item x="32"/>
        <item x="5"/>
        <item x="34"/>
        <item x="22"/>
        <item x="45"/>
        <item x="27"/>
        <item x="0"/>
        <item x="42"/>
        <item x="14"/>
        <item x="31"/>
        <item x="20"/>
        <item x="47"/>
        <item x="8"/>
        <item x="43"/>
        <item x="17"/>
        <item x="38"/>
        <item x="25"/>
        <item x="1"/>
        <item x="4"/>
        <item x="15"/>
        <item x="33"/>
        <item x="39"/>
        <item x="24"/>
        <item x="9"/>
        <item x="10"/>
        <item x="41"/>
        <item x="28"/>
        <item x="46"/>
        <item x="21"/>
        <item x="13"/>
        <item x="35"/>
        <item x="2"/>
        <item x="30"/>
        <item x="18"/>
        <item x="44"/>
        <item x="7"/>
        <item t="default"/>
      </items>
    </pivotField>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Fare_INR"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11E898-FC0D-40C1-A20D-F71EAC4CD8D8}" name="PivotTable1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V1:W4"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items count="8">
        <item x="0"/>
        <item x="4"/>
        <item x="2"/>
        <item x="3"/>
        <item x="6"/>
        <item x="1"/>
        <item x="5"/>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13"/>
  </rowFields>
  <rowItems count="3">
    <i>
      <x/>
    </i>
    <i>
      <x v="1"/>
    </i>
    <i t="grand">
      <x/>
    </i>
  </rowItems>
  <colItems count="1">
    <i/>
  </colItems>
  <dataFields count="1">
    <dataField name="Count of Ride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8262D6-053F-4BC1-A43E-66539B3C1199}"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1:T6" firstHeaderRow="1" firstDataRow="1" firstDataCol="1"/>
  <pivotFields count="14">
    <pivotField showAll="0"/>
    <pivotField numFmtId="15" showAll="0"/>
    <pivotField showAll="0">
      <items count="8">
        <item x="0"/>
        <item x="4"/>
        <item x="2"/>
        <item x="3"/>
        <item x="6"/>
        <item x="1"/>
        <item x="5"/>
        <item t="default"/>
      </items>
    </pivotField>
    <pivotField axis="axisRow" showAll="0">
      <items count="5">
        <item x="3"/>
        <item x="2"/>
        <item x="0"/>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Customer_Rating"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962753-A560-4F1E-AB7F-6EAB943B09A9}" name="PivotTable4"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E6"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items count="8">
        <item x="0"/>
        <item x="4"/>
        <item x="2"/>
        <item x="3"/>
        <item x="6"/>
        <item x="1"/>
        <item x="5"/>
        <item t="default"/>
      </items>
    </pivotField>
    <pivotField axis="axisRow"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ide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3" count="1" selected="0">
            <x v="0"/>
          </reference>
        </references>
      </pivotArea>
    </chartFormat>
    <chartFormat chart="10" format="12">
      <pivotArea type="data" outline="0" fieldPosition="0">
        <references count="2">
          <reference field="4294967294" count="1" selected="0">
            <x v="0"/>
          </reference>
          <reference field="3" count="1" selected="0">
            <x v="1"/>
          </reference>
        </references>
      </pivotArea>
    </chartFormat>
    <chartFormat chart="10" format="13">
      <pivotArea type="data" outline="0" fieldPosition="0">
        <references count="2">
          <reference field="4294967294" count="1" selected="0">
            <x v="0"/>
          </reference>
          <reference field="3" count="1" selected="0">
            <x v="2"/>
          </reference>
        </references>
      </pivotArea>
    </chartFormat>
    <chartFormat chart="10"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2E51A1-0E6A-48E6-9670-5945B97D2D81}" name="PivotTable10"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1:N4" firstHeaderRow="1" firstDataRow="1" firstDataCol="1"/>
  <pivotFields count="14">
    <pivotField showAll="0"/>
    <pivotField numFmtId="15" showAll="0"/>
    <pivotField showAll="0">
      <items count="8">
        <item x="0"/>
        <item x="4"/>
        <item x="2"/>
        <item x="3"/>
        <item x="6"/>
        <item x="1"/>
        <item x="5"/>
        <item t="default"/>
      </items>
    </pivotField>
    <pivotField showAll="0"/>
    <pivotField axis="axisRow" showAll="0">
      <items count="3">
        <item x="1"/>
        <item x="0"/>
        <item t="default"/>
      </items>
    </pivotField>
    <pivotField showAll="0"/>
    <pivotField showAll="0"/>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Fare_INR"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CED8D1-E0FE-4AF6-AFF3-A596729992BE}"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K5"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items count="8">
        <item x="0"/>
        <item x="4"/>
        <item x="2"/>
        <item x="3"/>
        <item x="6"/>
        <item x="1"/>
        <item x="5"/>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ount of Rid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6" count="1" selected="0">
            <x v="0"/>
          </reference>
        </references>
      </pivotArea>
    </chartFormat>
    <chartFormat chart="7" format="10">
      <pivotArea type="data" outline="0" fieldPosition="0">
        <references count="2">
          <reference field="4294967294" count="1" selected="0">
            <x v="0"/>
          </reference>
          <reference field="6" count="1" selected="0">
            <x v="1"/>
          </reference>
        </references>
      </pivotArea>
    </chartFormat>
    <chartFormat chart="7"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6F90F2-0DBA-465B-A9A5-C2E33DABEBBC}"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1:Q5" firstHeaderRow="1" firstDataRow="1" firstDataCol="1"/>
  <pivotFields count="14">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5" showAll="0"/>
    <pivotField showAll="0">
      <items count="8">
        <item x="0"/>
        <item x="4"/>
        <item x="2"/>
        <item x="3"/>
        <item x="6"/>
        <item x="1"/>
        <item x="5"/>
        <item t="default"/>
      </items>
    </pivotField>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Rid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408E49-D014-4B6B-B70A-8F9F0A4665CF}"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H11" firstHeaderRow="1" firstDataRow="1" firstDataCol="1"/>
  <pivotFields count="14">
    <pivotField showAll="0"/>
    <pivotField axis="axisRow" numFmtId="15" showAll="0">
      <items count="10">
        <item x="0"/>
        <item x="1"/>
        <item x="2"/>
        <item x="3"/>
        <item x="4"/>
        <item x="5"/>
        <item x="6"/>
        <item x="7"/>
        <item x="8"/>
        <item t="default"/>
      </items>
    </pivotField>
    <pivotField showAll="0">
      <items count="8">
        <item x="0"/>
        <item x="4"/>
        <item x="2"/>
        <item x="3"/>
        <item x="6"/>
        <item x="1"/>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Sum of Fare_INR"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32AEB36-1DA6-48D7-AFCD-D317072D3914}" sourceName="City">
  <pivotTables>
    <pivotTable tabId="3" name="PivotTable2"/>
  </pivotTables>
  <data>
    <tabular pivotCacheId="1449145263">
      <items count="7">
        <i x="0" s="1"/>
        <i x="4" s="1"/>
        <i x="2" s="1"/>
        <i x="3" s="1"/>
        <i x="6"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0595A985-BB8B-49E3-AE3C-67C31AFC1974}" sourceName="Vehicle_Type">
  <pivotTables>
    <pivotTable tabId="3" name="PivotTable4"/>
  </pivotTables>
  <data>
    <tabular pivotCacheId="1449145263">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188B302-4D57-404B-B7A0-5DB64AF17E29}" sourceName="Date">
  <pivotTables>
    <pivotTable tabId="3" name="PivotTable7"/>
  </pivotTables>
  <data>
    <tabular pivotCacheId="1449145263">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4F2A9CE-D155-4D69-8449-A4EEDBF5041F}" cache="Slicer_City" caption="City" rowHeight="251883"/>
  <slicer name="Vehicle_Type" xr10:uid="{5A467FD6-E70A-40E2-B75B-58E50498A5D3}" cache="Slicer_Vehicle_Type" caption="Vehicle_Type" rowHeight="257175"/>
  <slicer name="Date" xr10:uid="{D1BA9090-BD9F-4A91-B897-05C2C0847CC7}" cache="Slicer_Date" caption="Dat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D38F82FC-6CEC-4B2D-B586-645E09938004}" cache="Slicer_City" caption="City" rowHeight="251883"/>
  <slicer name="Vehicle_Type 1" xr10:uid="{5AFFC6C9-FEC7-4FBE-8256-22314E7F57C5}" cache="Slicer_Vehicle_Type" caption="Vehicle_Type" rowHeight="257175"/>
  <slicer name="Date 1" xr10:uid="{9153930B-075F-4192-90DD-AA92575BB75D}" cache="Slicer_Date" caption="D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B1B762-0A20-431E-978F-9B2A34171B2E}" name="Table1" displayName="Table1" ref="A1:N51" totalsRowShown="0" headerRowDxfId="15" dataDxfId="14">
  <autoFilter ref="A1:N51" xr:uid="{ADB1B762-0A20-431E-978F-9B2A34171B2E}"/>
  <tableColumns count="14">
    <tableColumn id="1" xr3:uid="{E79F4FB3-6E93-4260-BE00-C968E7CD77F2}" name="Ride_ID" dataDxfId="13"/>
    <tableColumn id="2" xr3:uid="{5181D4D7-74B1-4404-8B57-CD85DCA6ABC9}" name="Date" dataDxfId="12"/>
    <tableColumn id="3" xr3:uid="{95EF751F-82D4-4580-975E-8D971D85F69D}" name="City" dataDxfId="11"/>
    <tableColumn id="4" xr3:uid="{C28C8691-7E7D-4017-A466-6408FEDC37AB}" name="Vehicle_Type" dataDxfId="10"/>
    <tableColumn id="5" xr3:uid="{C78719F3-3717-4B64-8A23-A288CBB58885}" name="Trip_Type" dataDxfId="9"/>
    <tableColumn id="6" xr3:uid="{934D3CEE-33A2-424B-A5BB-239701590861}" name="Customer_Type" dataDxfId="8"/>
    <tableColumn id="7" xr3:uid="{1002424B-3A27-45C7-95B2-44C4A987FB76}" name="Payment_Mode" dataDxfId="7"/>
    <tableColumn id="8" xr3:uid="{C2DB8629-745A-4339-B7F2-F2A0B38E9F15}" name="Distance_KM" dataDxfId="6"/>
    <tableColumn id="9" xr3:uid="{8F4EFA0D-860E-4BE1-B291-9526197DC251}" name="Fare_INR" dataDxfId="5"/>
    <tableColumn id="10" xr3:uid="{51DFC6FC-B6FE-4834-88ED-C41AFBB15C03}" name="Discount_INR" dataDxfId="4"/>
    <tableColumn id="11" xr3:uid="{028F181A-DF0C-405B-A3BF-958910371F9F}" name="Driver_Rating" dataDxfId="3"/>
    <tableColumn id="12" xr3:uid="{B421024A-510F-4037-A6C5-E7B0089417AC}" name="Customer_Rating" dataDxfId="2"/>
    <tableColumn id="13" xr3:uid="{8EE0D98A-AEC4-460C-B84F-C8D70BD9A705}" name="Trip_Duration_Min" dataDxfId="1"/>
    <tableColumn id="14" xr3:uid="{680796FA-E4AD-49E6-BD08-523623646BE8}" name="Statu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9783FC-07D5-4C4C-97B1-C7C9D80E5001}" name="Table3" displayName="Table3" ref="D1:D6" totalsRowShown="0">
  <autoFilter ref="D1:D6" xr:uid="{499783FC-07D5-4C4C-97B1-C7C9D80E5001}"/>
  <tableColumns count="1">
    <tableColumn id="1" xr3:uid="{96C5452A-283F-44D1-B23E-4EE3479AE79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C497-0E56-43AE-8C5B-AD63BA2131E1}">
  <dimension ref="A1:N51"/>
  <sheetViews>
    <sheetView tabSelected="1" zoomScale="86" zoomScaleNormal="86" workbookViewId="0">
      <selection activeCell="A2" sqref="A2"/>
    </sheetView>
  </sheetViews>
  <sheetFormatPr defaultRowHeight="15" x14ac:dyDescent="0.25"/>
  <cols>
    <col min="1" max="1" width="10.140625" customWidth="1"/>
    <col min="2" max="2" width="12.5703125" customWidth="1"/>
    <col min="4" max="4" width="15" customWidth="1"/>
    <col min="5" max="5" width="11.7109375" customWidth="1"/>
    <col min="6" max="6" width="17.28515625" customWidth="1"/>
    <col min="7" max="7" width="16.85546875" customWidth="1"/>
    <col min="8" max="8" width="14.7109375" customWidth="1"/>
    <col min="9" max="9" width="11.140625" customWidth="1"/>
    <col min="10" max="10" width="15.42578125" customWidth="1"/>
    <col min="11" max="11" width="15.28515625" customWidth="1"/>
    <col min="12" max="12" width="18.7109375" customWidth="1"/>
    <col min="13" max="13" width="19.42578125" customWidth="1"/>
    <col min="14" max="14" width="14.5703125" customWidth="1"/>
  </cols>
  <sheetData>
    <row r="1" spans="1:14" x14ac:dyDescent="0.25">
      <c r="A1" s="1" t="s">
        <v>0</v>
      </c>
      <c r="B1" s="1" t="s">
        <v>1</v>
      </c>
      <c r="C1" s="1" t="s">
        <v>2</v>
      </c>
      <c r="D1" s="1" t="s">
        <v>3</v>
      </c>
      <c r="E1" s="1" t="s">
        <v>4</v>
      </c>
      <c r="F1" s="1" t="s">
        <v>5</v>
      </c>
      <c r="G1" s="1" t="s">
        <v>6</v>
      </c>
      <c r="H1" s="3" t="s">
        <v>7</v>
      </c>
      <c r="I1" s="3" t="s">
        <v>8</v>
      </c>
      <c r="J1" s="3" t="s">
        <v>9</v>
      </c>
      <c r="K1" s="3" t="s">
        <v>10</v>
      </c>
      <c r="L1" s="3" t="s">
        <v>11</v>
      </c>
      <c r="M1" s="3" t="s">
        <v>12</v>
      </c>
      <c r="N1" s="1" t="s">
        <v>13</v>
      </c>
    </row>
    <row r="2" spans="1:14" ht="30" x14ac:dyDescent="0.25">
      <c r="A2" s="4" t="s">
        <v>14</v>
      </c>
      <c r="B2" s="5">
        <v>46235</v>
      </c>
      <c r="C2" s="4" t="s">
        <v>15</v>
      </c>
      <c r="D2" s="4" t="s">
        <v>16</v>
      </c>
      <c r="E2" s="4" t="s">
        <v>2</v>
      </c>
      <c r="F2" s="4" t="s">
        <v>17</v>
      </c>
      <c r="G2" s="4" t="s">
        <v>18</v>
      </c>
      <c r="H2" s="2">
        <v>8.5</v>
      </c>
      <c r="I2" s="2">
        <v>245</v>
      </c>
      <c r="J2" s="2">
        <v>20</v>
      </c>
      <c r="K2" s="2">
        <v>4.8</v>
      </c>
      <c r="L2" s="2">
        <v>4.7</v>
      </c>
      <c r="M2" s="2">
        <v>28</v>
      </c>
      <c r="N2" s="4" t="s">
        <v>19</v>
      </c>
    </row>
    <row r="3" spans="1:14" x14ac:dyDescent="0.25">
      <c r="A3" s="4" t="s">
        <v>20</v>
      </c>
      <c r="B3" s="5">
        <v>46235</v>
      </c>
      <c r="C3" s="4" t="s">
        <v>21</v>
      </c>
      <c r="D3" s="4" t="s">
        <v>16</v>
      </c>
      <c r="E3" s="4" t="s">
        <v>2</v>
      </c>
      <c r="F3" s="4" t="s">
        <v>22</v>
      </c>
      <c r="G3" s="4" t="s">
        <v>23</v>
      </c>
      <c r="H3" s="2">
        <v>12.2</v>
      </c>
      <c r="I3" s="2">
        <v>385</v>
      </c>
      <c r="J3" s="2">
        <v>50</v>
      </c>
      <c r="K3" s="2">
        <v>4.5999999999999996</v>
      </c>
      <c r="L3" s="2">
        <v>4.5</v>
      </c>
      <c r="M3" s="2">
        <v>41</v>
      </c>
      <c r="N3" s="4" t="s">
        <v>19</v>
      </c>
    </row>
    <row r="4" spans="1:14" x14ac:dyDescent="0.25">
      <c r="A4" s="4" t="s">
        <v>24</v>
      </c>
      <c r="B4" s="5">
        <v>46235</v>
      </c>
      <c r="C4" s="4" t="s">
        <v>25</v>
      </c>
      <c r="D4" s="4" t="s">
        <v>26</v>
      </c>
      <c r="E4" s="4" t="s">
        <v>27</v>
      </c>
      <c r="F4" s="4" t="s">
        <v>17</v>
      </c>
      <c r="G4" s="4" t="s">
        <v>18</v>
      </c>
      <c r="H4" s="2">
        <v>24.5</v>
      </c>
      <c r="I4" s="2">
        <v>720</v>
      </c>
      <c r="J4" s="2">
        <v>80</v>
      </c>
      <c r="K4" s="2">
        <v>4.9000000000000004</v>
      </c>
      <c r="L4" s="2">
        <v>4.8</v>
      </c>
      <c r="M4" s="2">
        <v>55</v>
      </c>
      <c r="N4" s="4" t="s">
        <v>19</v>
      </c>
    </row>
    <row r="5" spans="1:14" ht="30" x14ac:dyDescent="0.25">
      <c r="A5" s="4" t="s">
        <v>28</v>
      </c>
      <c r="B5" s="5">
        <v>46235</v>
      </c>
      <c r="C5" s="4" t="s">
        <v>29</v>
      </c>
      <c r="D5" s="4" t="s">
        <v>16</v>
      </c>
      <c r="E5" s="4" t="s">
        <v>2</v>
      </c>
      <c r="F5" s="4" t="s">
        <v>17</v>
      </c>
      <c r="G5" s="4" t="s">
        <v>30</v>
      </c>
      <c r="H5" s="2">
        <v>6.8</v>
      </c>
      <c r="I5" s="2">
        <v>190</v>
      </c>
      <c r="J5" s="2">
        <v>0</v>
      </c>
      <c r="K5" s="2">
        <v>4.5</v>
      </c>
      <c r="L5" s="2">
        <v>4.5999999999999996</v>
      </c>
      <c r="M5" s="2">
        <v>22</v>
      </c>
      <c r="N5" s="4" t="s">
        <v>19</v>
      </c>
    </row>
    <row r="6" spans="1:14" x14ac:dyDescent="0.25">
      <c r="A6" s="4" t="s">
        <v>31</v>
      </c>
      <c r="B6" s="5">
        <v>46235</v>
      </c>
      <c r="C6" s="4" t="s">
        <v>32</v>
      </c>
      <c r="D6" s="4" t="s">
        <v>33</v>
      </c>
      <c r="E6" s="4" t="s">
        <v>2</v>
      </c>
      <c r="F6" s="4" t="s">
        <v>34</v>
      </c>
      <c r="G6" s="4" t="s">
        <v>23</v>
      </c>
      <c r="H6" s="2">
        <v>10.4</v>
      </c>
      <c r="I6" s="2">
        <v>410</v>
      </c>
      <c r="J6" s="2">
        <v>30</v>
      </c>
      <c r="K6" s="2">
        <v>4.9000000000000004</v>
      </c>
      <c r="L6" s="2">
        <v>4.9000000000000004</v>
      </c>
      <c r="M6" s="2">
        <v>35</v>
      </c>
      <c r="N6" s="4" t="s">
        <v>19</v>
      </c>
    </row>
    <row r="7" spans="1:14" x14ac:dyDescent="0.25">
      <c r="A7" s="4" t="s">
        <v>35</v>
      </c>
      <c r="B7" s="5">
        <v>46236</v>
      </c>
      <c r="C7" s="4" t="s">
        <v>36</v>
      </c>
      <c r="D7" s="4" t="s">
        <v>16</v>
      </c>
      <c r="E7" s="4" t="s">
        <v>2</v>
      </c>
      <c r="F7" s="4" t="s">
        <v>22</v>
      </c>
      <c r="G7" s="4" t="s">
        <v>18</v>
      </c>
      <c r="H7" s="2">
        <v>7.2</v>
      </c>
      <c r="I7" s="2">
        <v>215</v>
      </c>
      <c r="J7" s="2">
        <v>25</v>
      </c>
      <c r="K7" s="2">
        <v>4.7</v>
      </c>
      <c r="L7" s="2">
        <v>4.4000000000000004</v>
      </c>
      <c r="M7" s="2">
        <v>25</v>
      </c>
      <c r="N7" s="4" t="s">
        <v>19</v>
      </c>
    </row>
    <row r="8" spans="1:14" ht="30" x14ac:dyDescent="0.25">
      <c r="A8" s="4" t="s">
        <v>37</v>
      </c>
      <c r="B8" s="5">
        <v>46236</v>
      </c>
      <c r="C8" s="4" t="s">
        <v>15</v>
      </c>
      <c r="D8" s="4" t="s">
        <v>38</v>
      </c>
      <c r="E8" s="4" t="s">
        <v>2</v>
      </c>
      <c r="F8" s="4" t="s">
        <v>17</v>
      </c>
      <c r="G8" s="4" t="s">
        <v>18</v>
      </c>
      <c r="H8" s="2">
        <v>4.5</v>
      </c>
      <c r="I8" s="2">
        <v>105</v>
      </c>
      <c r="J8" s="2">
        <v>10</v>
      </c>
      <c r="K8" s="2">
        <v>4.5999999999999996</v>
      </c>
      <c r="L8" s="2">
        <v>4.5</v>
      </c>
      <c r="M8" s="2">
        <v>18</v>
      </c>
      <c r="N8" s="4" t="s">
        <v>19</v>
      </c>
    </row>
    <row r="9" spans="1:14" x14ac:dyDescent="0.25">
      <c r="A9" s="4" t="s">
        <v>39</v>
      </c>
      <c r="B9" s="5">
        <v>46236</v>
      </c>
      <c r="C9" s="4" t="s">
        <v>21</v>
      </c>
      <c r="D9" s="4" t="s">
        <v>26</v>
      </c>
      <c r="E9" s="4" t="s">
        <v>27</v>
      </c>
      <c r="F9" s="4" t="s">
        <v>34</v>
      </c>
      <c r="G9" s="4" t="s">
        <v>23</v>
      </c>
      <c r="H9" s="2">
        <v>28.7</v>
      </c>
      <c r="I9" s="2">
        <v>890</v>
      </c>
      <c r="J9" s="2">
        <v>100</v>
      </c>
      <c r="K9" s="2">
        <v>4.8</v>
      </c>
      <c r="L9" s="2">
        <v>4.9000000000000004</v>
      </c>
      <c r="M9" s="2">
        <v>67</v>
      </c>
      <c r="N9" s="4" t="s">
        <v>19</v>
      </c>
    </row>
    <row r="10" spans="1:14" x14ac:dyDescent="0.25">
      <c r="A10" s="4" t="s">
        <v>40</v>
      </c>
      <c r="B10" s="5">
        <v>46236</v>
      </c>
      <c r="C10" s="4" t="s">
        <v>25</v>
      </c>
      <c r="D10" s="4" t="s">
        <v>16</v>
      </c>
      <c r="E10" s="4" t="s">
        <v>2</v>
      </c>
      <c r="F10" s="4" t="s">
        <v>17</v>
      </c>
      <c r="G10" s="4" t="s">
        <v>30</v>
      </c>
      <c r="H10" s="2">
        <v>9.8000000000000007</v>
      </c>
      <c r="I10" s="2">
        <v>290</v>
      </c>
      <c r="J10" s="2">
        <v>0</v>
      </c>
      <c r="K10" s="2">
        <v>4.4000000000000004</v>
      </c>
      <c r="L10" s="2">
        <v>4.2</v>
      </c>
      <c r="M10" s="2">
        <v>31</v>
      </c>
      <c r="N10" s="4" t="s">
        <v>19</v>
      </c>
    </row>
    <row r="11" spans="1:14" x14ac:dyDescent="0.25">
      <c r="A11" s="4" t="s">
        <v>41</v>
      </c>
      <c r="B11" s="5">
        <v>46236</v>
      </c>
      <c r="C11" s="4" t="s">
        <v>42</v>
      </c>
      <c r="D11" s="4" t="s">
        <v>16</v>
      </c>
      <c r="E11" s="4" t="s">
        <v>27</v>
      </c>
      <c r="F11" s="4" t="s">
        <v>22</v>
      </c>
      <c r="G11" s="4" t="s">
        <v>18</v>
      </c>
      <c r="H11" s="2">
        <v>18.5</v>
      </c>
      <c r="I11" s="2">
        <v>540</v>
      </c>
      <c r="J11" s="2">
        <v>60</v>
      </c>
      <c r="K11" s="2">
        <v>4.7</v>
      </c>
      <c r="L11" s="2">
        <v>4.5999999999999996</v>
      </c>
      <c r="M11" s="2">
        <v>44</v>
      </c>
      <c r="N11" s="4" t="s">
        <v>19</v>
      </c>
    </row>
    <row r="12" spans="1:14" ht="30" x14ac:dyDescent="0.25">
      <c r="A12" s="4" t="s">
        <v>43</v>
      </c>
      <c r="B12" s="5">
        <v>46237</v>
      </c>
      <c r="C12" s="4" t="s">
        <v>15</v>
      </c>
      <c r="D12" s="4" t="s">
        <v>33</v>
      </c>
      <c r="E12" s="4" t="s">
        <v>2</v>
      </c>
      <c r="F12" s="4" t="s">
        <v>34</v>
      </c>
      <c r="G12" s="4" t="s">
        <v>23</v>
      </c>
      <c r="H12" s="2">
        <v>14.2</v>
      </c>
      <c r="I12" s="2">
        <v>560</v>
      </c>
      <c r="J12" s="2">
        <v>40</v>
      </c>
      <c r="K12" s="2">
        <v>4.9000000000000004</v>
      </c>
      <c r="L12" s="2">
        <v>4.8</v>
      </c>
      <c r="M12" s="2">
        <v>43</v>
      </c>
      <c r="N12" s="4" t="s">
        <v>19</v>
      </c>
    </row>
    <row r="13" spans="1:14" x14ac:dyDescent="0.25">
      <c r="A13" s="4" t="s">
        <v>44</v>
      </c>
      <c r="B13" s="5">
        <v>46237</v>
      </c>
      <c r="C13" s="4" t="s">
        <v>21</v>
      </c>
      <c r="D13" s="4" t="s">
        <v>16</v>
      </c>
      <c r="E13" s="4" t="s">
        <v>2</v>
      </c>
      <c r="F13" s="4" t="s">
        <v>17</v>
      </c>
      <c r="G13" s="4" t="s">
        <v>18</v>
      </c>
      <c r="H13" s="2">
        <v>5.7</v>
      </c>
      <c r="I13" s="2">
        <v>175</v>
      </c>
      <c r="J13" s="2">
        <v>15</v>
      </c>
      <c r="K13" s="2">
        <v>4.5999999999999996</v>
      </c>
      <c r="L13" s="2">
        <v>4.7</v>
      </c>
      <c r="M13" s="2">
        <v>20</v>
      </c>
      <c r="N13" s="4" t="s">
        <v>19</v>
      </c>
    </row>
    <row r="14" spans="1:14" x14ac:dyDescent="0.25">
      <c r="A14" s="4" t="s">
        <v>45</v>
      </c>
      <c r="B14" s="5">
        <v>46237</v>
      </c>
      <c r="C14" s="4" t="s">
        <v>25</v>
      </c>
      <c r="D14" s="4" t="s">
        <v>38</v>
      </c>
      <c r="E14" s="4" t="s">
        <v>2</v>
      </c>
      <c r="F14" s="4" t="s">
        <v>22</v>
      </c>
      <c r="G14" s="4" t="s">
        <v>30</v>
      </c>
      <c r="H14" s="2">
        <v>3.8</v>
      </c>
      <c r="I14" s="2">
        <v>90</v>
      </c>
      <c r="J14" s="2">
        <v>0</v>
      </c>
      <c r="K14" s="2">
        <v>4.3</v>
      </c>
      <c r="L14" s="2">
        <v>4.0999999999999996</v>
      </c>
      <c r="M14" s="2">
        <v>16</v>
      </c>
      <c r="N14" s="4" t="s">
        <v>19</v>
      </c>
    </row>
    <row r="15" spans="1:14" ht="30" x14ac:dyDescent="0.25">
      <c r="A15" s="4" t="s">
        <v>46</v>
      </c>
      <c r="B15" s="5">
        <v>46237</v>
      </c>
      <c r="C15" s="4" t="s">
        <v>29</v>
      </c>
      <c r="D15" s="4" t="s">
        <v>26</v>
      </c>
      <c r="E15" s="4" t="s">
        <v>27</v>
      </c>
      <c r="F15" s="4" t="s">
        <v>17</v>
      </c>
      <c r="G15" s="4" t="s">
        <v>23</v>
      </c>
      <c r="H15" s="2">
        <v>22.4</v>
      </c>
      <c r="I15" s="2">
        <v>680</v>
      </c>
      <c r="J15" s="2">
        <v>70</v>
      </c>
      <c r="K15" s="2">
        <v>4.8</v>
      </c>
      <c r="L15" s="2">
        <v>4.7</v>
      </c>
      <c r="M15" s="2">
        <v>52</v>
      </c>
      <c r="N15" s="4" t="s">
        <v>19</v>
      </c>
    </row>
    <row r="16" spans="1:14" x14ac:dyDescent="0.25">
      <c r="A16" s="4" t="s">
        <v>47</v>
      </c>
      <c r="B16" s="5">
        <v>46237</v>
      </c>
      <c r="C16" s="4" t="s">
        <v>32</v>
      </c>
      <c r="D16" s="4" t="s">
        <v>16</v>
      </c>
      <c r="E16" s="4" t="s">
        <v>2</v>
      </c>
      <c r="F16" s="4" t="s">
        <v>17</v>
      </c>
      <c r="G16" s="4" t="s">
        <v>18</v>
      </c>
      <c r="H16" s="2">
        <v>8.9</v>
      </c>
      <c r="I16" s="2">
        <v>260</v>
      </c>
      <c r="J16" s="2">
        <v>20</v>
      </c>
      <c r="K16" s="2">
        <v>4.7</v>
      </c>
      <c r="L16" s="2">
        <v>4.5999999999999996</v>
      </c>
      <c r="M16" s="2">
        <v>29</v>
      </c>
      <c r="N16" s="4" t="s">
        <v>19</v>
      </c>
    </row>
    <row r="17" spans="1:14" x14ac:dyDescent="0.25">
      <c r="A17" s="4" t="s">
        <v>48</v>
      </c>
      <c r="B17" s="5">
        <v>46237</v>
      </c>
      <c r="C17" s="4" t="s">
        <v>36</v>
      </c>
      <c r="D17" s="4" t="s">
        <v>33</v>
      </c>
      <c r="E17" s="4" t="s">
        <v>2</v>
      </c>
      <c r="F17" s="4" t="s">
        <v>34</v>
      </c>
      <c r="G17" s="4" t="s">
        <v>23</v>
      </c>
      <c r="H17" s="2">
        <v>11.5</v>
      </c>
      <c r="I17" s="2">
        <v>450</v>
      </c>
      <c r="J17" s="2">
        <v>35</v>
      </c>
      <c r="K17" s="2">
        <v>4.9000000000000004</v>
      </c>
      <c r="L17" s="2">
        <v>4.9000000000000004</v>
      </c>
      <c r="M17" s="2">
        <v>37</v>
      </c>
      <c r="N17" s="4" t="s">
        <v>19</v>
      </c>
    </row>
    <row r="18" spans="1:14" ht="30" x14ac:dyDescent="0.25">
      <c r="A18" s="4" t="s">
        <v>49</v>
      </c>
      <c r="B18" s="5">
        <v>46238</v>
      </c>
      <c r="C18" s="4" t="s">
        <v>15</v>
      </c>
      <c r="D18" s="4" t="s">
        <v>16</v>
      </c>
      <c r="E18" s="4" t="s">
        <v>2</v>
      </c>
      <c r="F18" s="4" t="s">
        <v>22</v>
      </c>
      <c r="G18" s="4" t="s">
        <v>18</v>
      </c>
      <c r="H18" s="2">
        <v>6.4</v>
      </c>
      <c r="I18" s="2">
        <v>185</v>
      </c>
      <c r="J18" s="2">
        <v>20</v>
      </c>
      <c r="K18" s="2">
        <v>4.5</v>
      </c>
      <c r="L18" s="2">
        <v>4.3</v>
      </c>
      <c r="M18" s="2">
        <v>23</v>
      </c>
      <c r="N18" s="4" t="s">
        <v>50</v>
      </c>
    </row>
    <row r="19" spans="1:14" x14ac:dyDescent="0.25">
      <c r="A19" s="4" t="s">
        <v>51</v>
      </c>
      <c r="B19" s="5">
        <v>46238</v>
      </c>
      <c r="C19" s="4" t="s">
        <v>21</v>
      </c>
      <c r="D19" s="4" t="s">
        <v>16</v>
      </c>
      <c r="E19" s="4" t="s">
        <v>2</v>
      </c>
      <c r="F19" s="4" t="s">
        <v>17</v>
      </c>
      <c r="G19" s="4" t="s">
        <v>30</v>
      </c>
      <c r="H19" s="2">
        <v>10.6</v>
      </c>
      <c r="I19" s="2">
        <v>320</v>
      </c>
      <c r="J19" s="2">
        <v>0</v>
      </c>
      <c r="K19" s="2">
        <v>4.7</v>
      </c>
      <c r="L19" s="2">
        <v>4.5</v>
      </c>
      <c r="M19" s="2">
        <v>34</v>
      </c>
      <c r="N19" s="4" t="s">
        <v>19</v>
      </c>
    </row>
    <row r="20" spans="1:14" x14ac:dyDescent="0.25">
      <c r="A20" s="4" t="s">
        <v>52</v>
      </c>
      <c r="B20" s="5">
        <v>46238</v>
      </c>
      <c r="C20" s="4" t="s">
        <v>25</v>
      </c>
      <c r="D20" s="4" t="s">
        <v>33</v>
      </c>
      <c r="E20" s="4" t="s">
        <v>27</v>
      </c>
      <c r="F20" s="4" t="s">
        <v>34</v>
      </c>
      <c r="G20" s="4" t="s">
        <v>23</v>
      </c>
      <c r="H20" s="2">
        <v>26.3</v>
      </c>
      <c r="I20" s="2">
        <v>840</v>
      </c>
      <c r="J20" s="2">
        <v>90</v>
      </c>
      <c r="K20" s="2">
        <v>4.9000000000000004</v>
      </c>
      <c r="L20" s="2">
        <v>4.8</v>
      </c>
      <c r="M20" s="2">
        <v>61</v>
      </c>
      <c r="N20" s="4" t="s">
        <v>19</v>
      </c>
    </row>
    <row r="21" spans="1:14" x14ac:dyDescent="0.25">
      <c r="A21" s="4" t="s">
        <v>53</v>
      </c>
      <c r="B21" s="5">
        <v>46238</v>
      </c>
      <c r="C21" s="4" t="s">
        <v>42</v>
      </c>
      <c r="D21" s="4" t="s">
        <v>38</v>
      </c>
      <c r="E21" s="4" t="s">
        <v>2</v>
      </c>
      <c r="F21" s="4" t="s">
        <v>17</v>
      </c>
      <c r="G21" s="4" t="s">
        <v>18</v>
      </c>
      <c r="H21" s="2">
        <v>5.0999999999999996</v>
      </c>
      <c r="I21" s="2">
        <v>115</v>
      </c>
      <c r="J21" s="2">
        <v>10</v>
      </c>
      <c r="K21" s="2">
        <v>4.5</v>
      </c>
      <c r="L21" s="2">
        <v>4.4000000000000004</v>
      </c>
      <c r="M21" s="2">
        <v>19</v>
      </c>
      <c r="N21" s="4" t="s">
        <v>19</v>
      </c>
    </row>
    <row r="22" spans="1:14" ht="30" x14ac:dyDescent="0.25">
      <c r="A22" s="4" t="s">
        <v>54</v>
      </c>
      <c r="B22" s="5">
        <v>46238</v>
      </c>
      <c r="C22" s="4" t="s">
        <v>29</v>
      </c>
      <c r="D22" s="4" t="s">
        <v>16</v>
      </c>
      <c r="E22" s="4" t="s">
        <v>2</v>
      </c>
      <c r="F22" s="4" t="s">
        <v>17</v>
      </c>
      <c r="G22" s="4" t="s">
        <v>18</v>
      </c>
      <c r="H22" s="2">
        <v>9.3000000000000007</v>
      </c>
      <c r="I22" s="2">
        <v>275</v>
      </c>
      <c r="J22" s="2">
        <v>25</v>
      </c>
      <c r="K22" s="2">
        <v>4.5999999999999996</v>
      </c>
      <c r="L22" s="2">
        <v>4.7</v>
      </c>
      <c r="M22" s="2">
        <v>30</v>
      </c>
      <c r="N22" s="4" t="s">
        <v>19</v>
      </c>
    </row>
    <row r="23" spans="1:14" x14ac:dyDescent="0.25">
      <c r="A23" s="4" t="s">
        <v>55</v>
      </c>
      <c r="B23" s="5">
        <v>46238</v>
      </c>
      <c r="C23" s="4" t="s">
        <v>32</v>
      </c>
      <c r="D23" s="4" t="s">
        <v>26</v>
      </c>
      <c r="E23" s="4" t="s">
        <v>27</v>
      </c>
      <c r="F23" s="4" t="s">
        <v>22</v>
      </c>
      <c r="G23" s="4" t="s">
        <v>23</v>
      </c>
      <c r="H23" s="2">
        <v>21.8</v>
      </c>
      <c r="I23" s="2">
        <v>650</v>
      </c>
      <c r="J23" s="2">
        <v>75</v>
      </c>
      <c r="K23" s="2">
        <v>4.7</v>
      </c>
      <c r="L23" s="2">
        <v>4.5</v>
      </c>
      <c r="M23" s="2">
        <v>50</v>
      </c>
      <c r="N23" s="4" t="s">
        <v>19</v>
      </c>
    </row>
    <row r="24" spans="1:14" x14ac:dyDescent="0.25">
      <c r="A24" s="4" t="s">
        <v>56</v>
      </c>
      <c r="B24" s="5">
        <v>46239</v>
      </c>
      <c r="C24" s="4" t="s">
        <v>36</v>
      </c>
      <c r="D24" s="4" t="s">
        <v>16</v>
      </c>
      <c r="E24" s="4" t="s">
        <v>2</v>
      </c>
      <c r="F24" s="4" t="s">
        <v>17</v>
      </c>
      <c r="G24" s="4" t="s">
        <v>30</v>
      </c>
      <c r="H24" s="2">
        <v>7.6</v>
      </c>
      <c r="I24" s="2">
        <v>225</v>
      </c>
      <c r="J24" s="2">
        <v>0</v>
      </c>
      <c r="K24" s="2">
        <v>4.4000000000000004</v>
      </c>
      <c r="L24" s="2">
        <v>4.3</v>
      </c>
      <c r="M24" s="2">
        <v>26</v>
      </c>
      <c r="N24" s="4" t="s">
        <v>19</v>
      </c>
    </row>
    <row r="25" spans="1:14" ht="30" x14ac:dyDescent="0.25">
      <c r="A25" s="4" t="s">
        <v>57</v>
      </c>
      <c r="B25" s="5">
        <v>46239</v>
      </c>
      <c r="C25" s="4" t="s">
        <v>15</v>
      </c>
      <c r="D25" s="4" t="s">
        <v>38</v>
      </c>
      <c r="E25" s="4" t="s">
        <v>2</v>
      </c>
      <c r="F25" s="4" t="s">
        <v>22</v>
      </c>
      <c r="G25" s="4" t="s">
        <v>18</v>
      </c>
      <c r="H25" s="2">
        <v>3.2</v>
      </c>
      <c r="I25" s="2">
        <v>80</v>
      </c>
      <c r="J25" s="2">
        <v>5</v>
      </c>
      <c r="K25" s="2">
        <v>4.5</v>
      </c>
      <c r="L25" s="2">
        <v>4.2</v>
      </c>
      <c r="M25" s="2">
        <v>14</v>
      </c>
      <c r="N25" s="4" t="s">
        <v>19</v>
      </c>
    </row>
    <row r="26" spans="1:14" x14ac:dyDescent="0.25">
      <c r="A26" s="4" t="s">
        <v>58</v>
      </c>
      <c r="B26" s="5">
        <v>46239</v>
      </c>
      <c r="C26" s="4" t="s">
        <v>21</v>
      </c>
      <c r="D26" s="4" t="s">
        <v>33</v>
      </c>
      <c r="E26" s="4" t="s">
        <v>2</v>
      </c>
      <c r="F26" s="4" t="s">
        <v>34</v>
      </c>
      <c r="G26" s="4" t="s">
        <v>23</v>
      </c>
      <c r="H26" s="2">
        <v>13.7</v>
      </c>
      <c r="I26" s="2">
        <v>525</v>
      </c>
      <c r="J26" s="2">
        <v>45</v>
      </c>
      <c r="K26" s="2">
        <v>4.9000000000000004</v>
      </c>
      <c r="L26" s="2">
        <v>4.9000000000000004</v>
      </c>
      <c r="M26" s="2">
        <v>42</v>
      </c>
      <c r="N26" s="4" t="s">
        <v>19</v>
      </c>
    </row>
    <row r="27" spans="1:14" x14ac:dyDescent="0.25">
      <c r="A27" s="4" t="s">
        <v>59</v>
      </c>
      <c r="B27" s="5">
        <v>46239</v>
      </c>
      <c r="C27" s="4" t="s">
        <v>25</v>
      </c>
      <c r="D27" s="4" t="s">
        <v>16</v>
      </c>
      <c r="E27" s="4" t="s">
        <v>2</v>
      </c>
      <c r="F27" s="4" t="s">
        <v>17</v>
      </c>
      <c r="G27" s="4" t="s">
        <v>18</v>
      </c>
      <c r="H27" s="2">
        <v>11.4</v>
      </c>
      <c r="I27" s="2">
        <v>335</v>
      </c>
      <c r="J27" s="2">
        <v>30</v>
      </c>
      <c r="K27" s="2">
        <v>4.8</v>
      </c>
      <c r="L27" s="2">
        <v>4.7</v>
      </c>
      <c r="M27" s="2">
        <v>36</v>
      </c>
      <c r="N27" s="4" t="s">
        <v>19</v>
      </c>
    </row>
    <row r="28" spans="1:14" ht="30" x14ac:dyDescent="0.25">
      <c r="A28" s="4" t="s">
        <v>60</v>
      </c>
      <c r="B28" s="5">
        <v>46239</v>
      </c>
      <c r="C28" s="4" t="s">
        <v>29</v>
      </c>
      <c r="D28" s="4" t="s">
        <v>16</v>
      </c>
      <c r="E28" s="4" t="s">
        <v>2</v>
      </c>
      <c r="F28" s="4" t="s">
        <v>22</v>
      </c>
      <c r="G28" s="4" t="s">
        <v>30</v>
      </c>
      <c r="H28" s="2">
        <v>5.9</v>
      </c>
      <c r="I28" s="2">
        <v>165</v>
      </c>
      <c r="J28" s="2">
        <v>0</v>
      </c>
      <c r="K28" s="2">
        <v>4.3</v>
      </c>
      <c r="L28" s="2">
        <v>4.0999999999999996</v>
      </c>
      <c r="M28" s="2">
        <v>21</v>
      </c>
      <c r="N28" s="4" t="s">
        <v>50</v>
      </c>
    </row>
    <row r="29" spans="1:14" x14ac:dyDescent="0.25">
      <c r="A29" s="4" t="s">
        <v>61</v>
      </c>
      <c r="B29" s="5">
        <v>46239</v>
      </c>
      <c r="C29" s="4" t="s">
        <v>32</v>
      </c>
      <c r="D29" s="4" t="s">
        <v>16</v>
      </c>
      <c r="E29" s="4" t="s">
        <v>2</v>
      </c>
      <c r="F29" s="4" t="s">
        <v>17</v>
      </c>
      <c r="G29" s="4" t="s">
        <v>18</v>
      </c>
      <c r="H29" s="2">
        <v>8.1999999999999993</v>
      </c>
      <c r="I29" s="2">
        <v>240</v>
      </c>
      <c r="J29" s="2">
        <v>20</v>
      </c>
      <c r="K29" s="2">
        <v>4.5999999999999996</v>
      </c>
      <c r="L29" s="2">
        <v>4.5</v>
      </c>
      <c r="M29" s="2">
        <v>27</v>
      </c>
      <c r="N29" s="4" t="s">
        <v>19</v>
      </c>
    </row>
    <row r="30" spans="1:14" x14ac:dyDescent="0.25">
      <c r="A30" s="4" t="s">
        <v>62</v>
      </c>
      <c r="B30" s="5">
        <v>46240</v>
      </c>
      <c r="C30" s="4" t="s">
        <v>42</v>
      </c>
      <c r="D30" s="4" t="s">
        <v>33</v>
      </c>
      <c r="E30" s="4" t="s">
        <v>27</v>
      </c>
      <c r="F30" s="4" t="s">
        <v>34</v>
      </c>
      <c r="G30" s="4" t="s">
        <v>23</v>
      </c>
      <c r="H30" s="2">
        <v>19.600000000000001</v>
      </c>
      <c r="I30" s="2">
        <v>610</v>
      </c>
      <c r="J30" s="2">
        <v>60</v>
      </c>
      <c r="K30" s="2">
        <v>4.8</v>
      </c>
      <c r="L30" s="2">
        <v>4.8</v>
      </c>
      <c r="M30" s="2">
        <v>47</v>
      </c>
      <c r="N30" s="4" t="s">
        <v>19</v>
      </c>
    </row>
    <row r="31" spans="1:14" x14ac:dyDescent="0.25">
      <c r="A31" s="4" t="s">
        <v>63</v>
      </c>
      <c r="B31" s="5">
        <v>46240</v>
      </c>
      <c r="C31" s="4" t="s">
        <v>36</v>
      </c>
      <c r="D31" s="4" t="s">
        <v>38</v>
      </c>
      <c r="E31" s="4" t="s">
        <v>2</v>
      </c>
      <c r="F31" s="4" t="s">
        <v>17</v>
      </c>
      <c r="G31" s="4" t="s">
        <v>18</v>
      </c>
      <c r="H31" s="2">
        <v>4.2</v>
      </c>
      <c r="I31" s="2">
        <v>95</v>
      </c>
      <c r="J31" s="2">
        <v>5</v>
      </c>
      <c r="K31" s="2">
        <v>4.5</v>
      </c>
      <c r="L31" s="2">
        <v>4.4000000000000004</v>
      </c>
      <c r="M31" s="2">
        <v>17</v>
      </c>
      <c r="N31" s="4" t="s">
        <v>19</v>
      </c>
    </row>
    <row r="32" spans="1:14" ht="30" x14ac:dyDescent="0.25">
      <c r="A32" s="4" t="s">
        <v>64</v>
      </c>
      <c r="B32" s="5">
        <v>46240</v>
      </c>
      <c r="C32" s="4" t="s">
        <v>15</v>
      </c>
      <c r="D32" s="4" t="s">
        <v>26</v>
      </c>
      <c r="E32" s="4" t="s">
        <v>27</v>
      </c>
      <c r="F32" s="4" t="s">
        <v>17</v>
      </c>
      <c r="G32" s="4" t="s">
        <v>23</v>
      </c>
      <c r="H32" s="2">
        <v>25.8</v>
      </c>
      <c r="I32" s="2">
        <v>795</v>
      </c>
      <c r="J32" s="2">
        <v>85</v>
      </c>
      <c r="K32" s="2">
        <v>4.9000000000000004</v>
      </c>
      <c r="L32" s="2">
        <v>4.8</v>
      </c>
      <c r="M32" s="2">
        <v>59</v>
      </c>
      <c r="N32" s="4" t="s">
        <v>19</v>
      </c>
    </row>
    <row r="33" spans="1:14" x14ac:dyDescent="0.25">
      <c r="A33" s="4" t="s">
        <v>65</v>
      </c>
      <c r="B33" s="5">
        <v>46240</v>
      </c>
      <c r="C33" s="4" t="s">
        <v>21</v>
      </c>
      <c r="D33" s="4" t="s">
        <v>16</v>
      </c>
      <c r="E33" s="4" t="s">
        <v>2</v>
      </c>
      <c r="F33" s="4" t="s">
        <v>22</v>
      </c>
      <c r="G33" s="4" t="s">
        <v>18</v>
      </c>
      <c r="H33" s="2">
        <v>9.1</v>
      </c>
      <c r="I33" s="2">
        <v>270</v>
      </c>
      <c r="J33" s="2">
        <v>30</v>
      </c>
      <c r="K33" s="2">
        <v>4.5999999999999996</v>
      </c>
      <c r="L33" s="2">
        <v>4.5</v>
      </c>
      <c r="M33" s="2">
        <v>30</v>
      </c>
      <c r="N33" s="4" t="s">
        <v>19</v>
      </c>
    </row>
    <row r="34" spans="1:14" x14ac:dyDescent="0.25">
      <c r="A34" s="4" t="s">
        <v>66</v>
      </c>
      <c r="B34" s="5">
        <v>46240</v>
      </c>
      <c r="C34" s="4" t="s">
        <v>25</v>
      </c>
      <c r="D34" s="4" t="s">
        <v>16</v>
      </c>
      <c r="E34" s="4" t="s">
        <v>2</v>
      </c>
      <c r="F34" s="4" t="s">
        <v>17</v>
      </c>
      <c r="G34" s="4" t="s">
        <v>30</v>
      </c>
      <c r="H34" s="2">
        <v>6.7</v>
      </c>
      <c r="I34" s="2">
        <v>195</v>
      </c>
      <c r="J34" s="2">
        <v>0</v>
      </c>
      <c r="K34" s="2">
        <v>4.4000000000000004</v>
      </c>
      <c r="L34" s="2">
        <v>4.3</v>
      </c>
      <c r="M34" s="2">
        <v>23</v>
      </c>
      <c r="N34" s="4" t="s">
        <v>19</v>
      </c>
    </row>
    <row r="35" spans="1:14" ht="30" x14ac:dyDescent="0.25">
      <c r="A35" s="4" t="s">
        <v>67</v>
      </c>
      <c r="B35" s="5">
        <v>46241</v>
      </c>
      <c r="C35" s="4" t="s">
        <v>29</v>
      </c>
      <c r="D35" s="4" t="s">
        <v>33</v>
      </c>
      <c r="E35" s="4" t="s">
        <v>2</v>
      </c>
      <c r="F35" s="4" t="s">
        <v>34</v>
      </c>
      <c r="G35" s="4" t="s">
        <v>23</v>
      </c>
      <c r="H35" s="2">
        <v>12.8</v>
      </c>
      <c r="I35" s="2">
        <v>490</v>
      </c>
      <c r="J35" s="2">
        <v>40</v>
      </c>
      <c r="K35" s="2">
        <v>4.9000000000000004</v>
      </c>
      <c r="L35" s="2">
        <v>4.9000000000000004</v>
      </c>
      <c r="M35" s="2">
        <v>39</v>
      </c>
      <c r="N35" s="4" t="s">
        <v>19</v>
      </c>
    </row>
    <row r="36" spans="1:14" x14ac:dyDescent="0.25">
      <c r="A36" s="4" t="s">
        <v>68</v>
      </c>
      <c r="B36" s="5">
        <v>46241</v>
      </c>
      <c r="C36" s="4" t="s">
        <v>32</v>
      </c>
      <c r="D36" s="4" t="s">
        <v>16</v>
      </c>
      <c r="E36" s="4" t="s">
        <v>2</v>
      </c>
      <c r="F36" s="4" t="s">
        <v>17</v>
      </c>
      <c r="G36" s="4" t="s">
        <v>18</v>
      </c>
      <c r="H36" s="2">
        <v>7.5</v>
      </c>
      <c r="I36" s="2">
        <v>220</v>
      </c>
      <c r="J36" s="2">
        <v>15</v>
      </c>
      <c r="K36" s="2">
        <v>4.7</v>
      </c>
      <c r="L36" s="2">
        <v>4.5999999999999996</v>
      </c>
      <c r="M36" s="2">
        <v>25</v>
      </c>
      <c r="N36" s="4" t="s">
        <v>19</v>
      </c>
    </row>
    <row r="37" spans="1:14" x14ac:dyDescent="0.25">
      <c r="A37" s="4" t="s">
        <v>69</v>
      </c>
      <c r="B37" s="5">
        <v>46241</v>
      </c>
      <c r="C37" s="4" t="s">
        <v>36</v>
      </c>
      <c r="D37" s="4" t="s">
        <v>26</v>
      </c>
      <c r="E37" s="4" t="s">
        <v>27</v>
      </c>
      <c r="F37" s="4" t="s">
        <v>17</v>
      </c>
      <c r="G37" s="4" t="s">
        <v>23</v>
      </c>
      <c r="H37" s="2">
        <v>23.6</v>
      </c>
      <c r="I37" s="2">
        <v>705</v>
      </c>
      <c r="J37" s="2">
        <v>70</v>
      </c>
      <c r="K37" s="2">
        <v>4.8</v>
      </c>
      <c r="L37" s="2">
        <v>4.7</v>
      </c>
      <c r="M37" s="2">
        <v>54</v>
      </c>
      <c r="N37" s="4" t="s">
        <v>19</v>
      </c>
    </row>
    <row r="38" spans="1:14" ht="30" x14ac:dyDescent="0.25">
      <c r="A38" s="4" t="s">
        <v>70</v>
      </c>
      <c r="B38" s="5">
        <v>46241</v>
      </c>
      <c r="C38" s="4" t="s">
        <v>15</v>
      </c>
      <c r="D38" s="4" t="s">
        <v>16</v>
      </c>
      <c r="E38" s="4" t="s">
        <v>2</v>
      </c>
      <c r="F38" s="4" t="s">
        <v>22</v>
      </c>
      <c r="G38" s="4" t="s">
        <v>18</v>
      </c>
      <c r="H38" s="2">
        <v>5.3</v>
      </c>
      <c r="I38" s="2">
        <v>155</v>
      </c>
      <c r="J38" s="2">
        <v>20</v>
      </c>
      <c r="K38" s="2">
        <v>4.5</v>
      </c>
      <c r="L38" s="2">
        <v>4.4000000000000004</v>
      </c>
      <c r="M38" s="2">
        <v>19</v>
      </c>
      <c r="N38" s="4" t="s">
        <v>19</v>
      </c>
    </row>
    <row r="39" spans="1:14" x14ac:dyDescent="0.25">
      <c r="A39" s="4" t="s">
        <v>71</v>
      </c>
      <c r="B39" s="5">
        <v>46241</v>
      </c>
      <c r="C39" s="4" t="s">
        <v>21</v>
      </c>
      <c r="D39" s="4" t="s">
        <v>38</v>
      </c>
      <c r="E39" s="4" t="s">
        <v>2</v>
      </c>
      <c r="F39" s="4" t="s">
        <v>17</v>
      </c>
      <c r="G39" s="4" t="s">
        <v>30</v>
      </c>
      <c r="H39" s="2">
        <v>4.7</v>
      </c>
      <c r="I39" s="2">
        <v>110</v>
      </c>
      <c r="J39" s="2">
        <v>0</v>
      </c>
      <c r="K39" s="2">
        <v>4.4000000000000004</v>
      </c>
      <c r="L39" s="2">
        <v>4.2</v>
      </c>
      <c r="M39" s="2">
        <v>18</v>
      </c>
      <c r="N39" s="4" t="s">
        <v>50</v>
      </c>
    </row>
    <row r="40" spans="1:14" x14ac:dyDescent="0.25">
      <c r="A40" s="4" t="s">
        <v>72</v>
      </c>
      <c r="B40" s="5">
        <v>46241</v>
      </c>
      <c r="C40" s="4" t="s">
        <v>25</v>
      </c>
      <c r="D40" s="4" t="s">
        <v>16</v>
      </c>
      <c r="E40" s="4" t="s">
        <v>2</v>
      </c>
      <c r="F40" s="4" t="s">
        <v>34</v>
      </c>
      <c r="G40" s="4" t="s">
        <v>23</v>
      </c>
      <c r="H40" s="2">
        <v>10.9</v>
      </c>
      <c r="I40" s="2">
        <v>330</v>
      </c>
      <c r="J40" s="2">
        <v>25</v>
      </c>
      <c r="K40" s="2">
        <v>4.8</v>
      </c>
      <c r="L40" s="2">
        <v>4.7</v>
      </c>
      <c r="M40" s="2">
        <v>35</v>
      </c>
      <c r="N40" s="4" t="s">
        <v>19</v>
      </c>
    </row>
    <row r="41" spans="1:14" x14ac:dyDescent="0.25">
      <c r="A41" s="4" t="s">
        <v>73</v>
      </c>
      <c r="B41" s="5">
        <v>46241</v>
      </c>
      <c r="C41" s="4" t="s">
        <v>42</v>
      </c>
      <c r="D41" s="4" t="s">
        <v>16</v>
      </c>
      <c r="E41" s="4" t="s">
        <v>27</v>
      </c>
      <c r="F41" s="4" t="s">
        <v>17</v>
      </c>
      <c r="G41" s="4" t="s">
        <v>18</v>
      </c>
      <c r="H41" s="2">
        <v>16.8</v>
      </c>
      <c r="I41" s="2">
        <v>495</v>
      </c>
      <c r="J41" s="2">
        <v>50</v>
      </c>
      <c r="K41" s="2">
        <v>4.7</v>
      </c>
      <c r="L41" s="2">
        <v>4.5999999999999996</v>
      </c>
      <c r="M41" s="2">
        <v>40</v>
      </c>
      <c r="N41" s="4" t="s">
        <v>19</v>
      </c>
    </row>
    <row r="42" spans="1:14" ht="30" x14ac:dyDescent="0.25">
      <c r="A42" s="4" t="s">
        <v>74</v>
      </c>
      <c r="B42" s="5">
        <v>46242</v>
      </c>
      <c r="C42" s="4" t="s">
        <v>29</v>
      </c>
      <c r="D42" s="4" t="s">
        <v>38</v>
      </c>
      <c r="E42" s="4" t="s">
        <v>2</v>
      </c>
      <c r="F42" s="4" t="s">
        <v>22</v>
      </c>
      <c r="G42" s="4" t="s">
        <v>18</v>
      </c>
      <c r="H42" s="2">
        <v>3.9</v>
      </c>
      <c r="I42" s="2">
        <v>92</v>
      </c>
      <c r="J42" s="2">
        <v>5</v>
      </c>
      <c r="K42" s="2">
        <v>4.5</v>
      </c>
      <c r="L42" s="2">
        <v>4.3</v>
      </c>
      <c r="M42" s="2">
        <v>15</v>
      </c>
      <c r="N42" s="4" t="s">
        <v>19</v>
      </c>
    </row>
    <row r="43" spans="1:14" x14ac:dyDescent="0.25">
      <c r="A43" s="4" t="s">
        <v>75</v>
      </c>
      <c r="B43" s="5">
        <v>46242</v>
      </c>
      <c r="C43" s="4" t="s">
        <v>32</v>
      </c>
      <c r="D43" s="4" t="s">
        <v>33</v>
      </c>
      <c r="E43" s="4" t="s">
        <v>2</v>
      </c>
      <c r="F43" s="4" t="s">
        <v>34</v>
      </c>
      <c r="G43" s="4" t="s">
        <v>23</v>
      </c>
      <c r="H43" s="2">
        <v>15.2</v>
      </c>
      <c r="I43" s="2">
        <v>575</v>
      </c>
      <c r="J43" s="2">
        <v>50</v>
      </c>
      <c r="K43" s="2">
        <v>4.9000000000000004</v>
      </c>
      <c r="L43" s="2">
        <v>4.8</v>
      </c>
      <c r="M43" s="2">
        <v>45</v>
      </c>
      <c r="N43" s="4" t="s">
        <v>19</v>
      </c>
    </row>
    <row r="44" spans="1:14" x14ac:dyDescent="0.25">
      <c r="A44" s="4" t="s">
        <v>76</v>
      </c>
      <c r="B44" s="5">
        <v>46242</v>
      </c>
      <c r="C44" s="4" t="s">
        <v>36</v>
      </c>
      <c r="D44" s="4" t="s">
        <v>16</v>
      </c>
      <c r="E44" s="4" t="s">
        <v>2</v>
      </c>
      <c r="F44" s="4" t="s">
        <v>17</v>
      </c>
      <c r="G44" s="4" t="s">
        <v>30</v>
      </c>
      <c r="H44" s="2">
        <v>8.8000000000000007</v>
      </c>
      <c r="I44" s="2">
        <v>255</v>
      </c>
      <c r="J44" s="2">
        <v>0</v>
      </c>
      <c r="K44" s="2">
        <v>4.5999999999999996</v>
      </c>
      <c r="L44" s="2">
        <v>4.5</v>
      </c>
      <c r="M44" s="2">
        <v>28</v>
      </c>
      <c r="N44" s="4" t="s">
        <v>19</v>
      </c>
    </row>
    <row r="45" spans="1:14" ht="30" x14ac:dyDescent="0.25">
      <c r="A45" s="4" t="s">
        <v>77</v>
      </c>
      <c r="B45" s="5">
        <v>46242</v>
      </c>
      <c r="C45" s="4" t="s">
        <v>15</v>
      </c>
      <c r="D45" s="4" t="s">
        <v>16</v>
      </c>
      <c r="E45" s="4" t="s">
        <v>2</v>
      </c>
      <c r="F45" s="4" t="s">
        <v>17</v>
      </c>
      <c r="G45" s="4" t="s">
        <v>18</v>
      </c>
      <c r="H45" s="2">
        <v>10.1</v>
      </c>
      <c r="I45" s="2">
        <v>300</v>
      </c>
      <c r="J45" s="2">
        <v>25</v>
      </c>
      <c r="K45" s="2">
        <v>4.8</v>
      </c>
      <c r="L45" s="2">
        <v>4.7</v>
      </c>
      <c r="M45" s="2">
        <v>33</v>
      </c>
      <c r="N45" s="4" t="s">
        <v>19</v>
      </c>
    </row>
    <row r="46" spans="1:14" x14ac:dyDescent="0.25">
      <c r="A46" s="4" t="s">
        <v>78</v>
      </c>
      <c r="B46" s="5">
        <v>46242</v>
      </c>
      <c r="C46" s="4" t="s">
        <v>21</v>
      </c>
      <c r="D46" s="4" t="s">
        <v>26</v>
      </c>
      <c r="E46" s="4" t="s">
        <v>27</v>
      </c>
      <c r="F46" s="4" t="s">
        <v>34</v>
      </c>
      <c r="G46" s="4" t="s">
        <v>23</v>
      </c>
      <c r="H46" s="2">
        <v>27.4</v>
      </c>
      <c r="I46" s="2">
        <v>850</v>
      </c>
      <c r="J46" s="2">
        <v>100</v>
      </c>
      <c r="K46" s="2">
        <v>4.9000000000000004</v>
      </c>
      <c r="L46" s="2">
        <v>4.9000000000000004</v>
      </c>
      <c r="M46" s="2">
        <v>64</v>
      </c>
      <c r="N46" s="4" t="s">
        <v>19</v>
      </c>
    </row>
    <row r="47" spans="1:14" x14ac:dyDescent="0.25">
      <c r="A47" s="4" t="s">
        <v>79</v>
      </c>
      <c r="B47" s="5">
        <v>46242</v>
      </c>
      <c r="C47" s="4" t="s">
        <v>25</v>
      </c>
      <c r="D47" s="4" t="s">
        <v>38</v>
      </c>
      <c r="E47" s="4" t="s">
        <v>2</v>
      </c>
      <c r="F47" s="4" t="s">
        <v>22</v>
      </c>
      <c r="G47" s="4" t="s">
        <v>30</v>
      </c>
      <c r="H47" s="2">
        <v>4.0999999999999996</v>
      </c>
      <c r="I47" s="2">
        <v>95</v>
      </c>
      <c r="J47" s="2">
        <v>0</v>
      </c>
      <c r="K47" s="2">
        <v>4.2</v>
      </c>
      <c r="L47" s="2">
        <v>4</v>
      </c>
      <c r="M47" s="2">
        <v>17</v>
      </c>
      <c r="N47" s="4" t="s">
        <v>19</v>
      </c>
    </row>
    <row r="48" spans="1:14" ht="30" x14ac:dyDescent="0.25">
      <c r="A48" s="4" t="s">
        <v>80</v>
      </c>
      <c r="B48" s="5">
        <v>46243</v>
      </c>
      <c r="C48" s="4" t="s">
        <v>29</v>
      </c>
      <c r="D48" s="4" t="s">
        <v>16</v>
      </c>
      <c r="E48" s="4" t="s">
        <v>2</v>
      </c>
      <c r="F48" s="4" t="s">
        <v>17</v>
      </c>
      <c r="G48" s="4" t="s">
        <v>18</v>
      </c>
      <c r="H48" s="2">
        <v>7.9</v>
      </c>
      <c r="I48" s="2">
        <v>230</v>
      </c>
      <c r="J48" s="2">
        <v>20</v>
      </c>
      <c r="K48" s="2">
        <v>4.7</v>
      </c>
      <c r="L48" s="2">
        <v>4.5999999999999996</v>
      </c>
      <c r="M48" s="2">
        <v>26</v>
      </c>
      <c r="N48" s="4" t="s">
        <v>19</v>
      </c>
    </row>
    <row r="49" spans="1:14" x14ac:dyDescent="0.25">
      <c r="A49" s="4" t="s">
        <v>81</v>
      </c>
      <c r="B49" s="5">
        <v>46243</v>
      </c>
      <c r="C49" s="4" t="s">
        <v>32</v>
      </c>
      <c r="D49" s="4" t="s">
        <v>26</v>
      </c>
      <c r="E49" s="4" t="s">
        <v>27</v>
      </c>
      <c r="F49" s="4" t="s">
        <v>17</v>
      </c>
      <c r="G49" s="4" t="s">
        <v>23</v>
      </c>
      <c r="H49" s="2">
        <v>20.5</v>
      </c>
      <c r="I49" s="2">
        <v>625</v>
      </c>
      <c r="J49" s="2">
        <v>65</v>
      </c>
      <c r="K49" s="2">
        <v>4.8</v>
      </c>
      <c r="L49" s="2">
        <v>4.7</v>
      </c>
      <c r="M49" s="2">
        <v>49</v>
      </c>
      <c r="N49" s="4" t="s">
        <v>19</v>
      </c>
    </row>
    <row r="50" spans="1:14" x14ac:dyDescent="0.25">
      <c r="A50" s="4" t="s">
        <v>82</v>
      </c>
      <c r="B50" s="5">
        <v>46243</v>
      </c>
      <c r="C50" s="4" t="s">
        <v>42</v>
      </c>
      <c r="D50" s="4" t="s">
        <v>38</v>
      </c>
      <c r="E50" s="4" t="s">
        <v>2</v>
      </c>
      <c r="F50" s="4" t="s">
        <v>22</v>
      </c>
      <c r="G50" s="4" t="s">
        <v>18</v>
      </c>
      <c r="H50" s="2">
        <v>4.8</v>
      </c>
      <c r="I50" s="2">
        <v>105</v>
      </c>
      <c r="J50" s="2">
        <v>10</v>
      </c>
      <c r="K50" s="2">
        <v>4.5999999999999996</v>
      </c>
      <c r="L50" s="2">
        <v>4.4000000000000004</v>
      </c>
      <c r="M50" s="2">
        <v>18</v>
      </c>
      <c r="N50" s="4" t="s">
        <v>19</v>
      </c>
    </row>
    <row r="51" spans="1:14" x14ac:dyDescent="0.25">
      <c r="A51" s="4" t="s">
        <v>83</v>
      </c>
      <c r="B51" s="5">
        <v>46243</v>
      </c>
      <c r="C51" s="4" t="s">
        <v>36</v>
      </c>
      <c r="D51" s="4" t="s">
        <v>16</v>
      </c>
      <c r="E51" s="4" t="s">
        <v>2</v>
      </c>
      <c r="F51" s="4" t="s">
        <v>17</v>
      </c>
      <c r="G51" s="4" t="s">
        <v>18</v>
      </c>
      <c r="H51" s="2">
        <v>9.6</v>
      </c>
      <c r="I51" s="2">
        <v>285</v>
      </c>
      <c r="J51" s="2">
        <v>25</v>
      </c>
      <c r="K51" s="2">
        <v>4.7</v>
      </c>
      <c r="L51" s="2">
        <v>4.5999999999999996</v>
      </c>
      <c r="M51" s="2">
        <v>32</v>
      </c>
      <c r="N51" s="4"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4EB7-F9CB-41D8-A9B3-ACFA7680C953}">
  <dimension ref="A1:D27"/>
  <sheetViews>
    <sheetView workbookViewId="0">
      <selection activeCell="B9" sqref="B9"/>
    </sheetView>
  </sheetViews>
  <sheetFormatPr defaultRowHeight="15" x14ac:dyDescent="0.25"/>
  <cols>
    <col min="1" max="1" width="30.7109375" customWidth="1"/>
    <col min="2" max="2" width="61.28515625" customWidth="1"/>
    <col min="4" max="4" width="11.28515625" customWidth="1"/>
  </cols>
  <sheetData>
    <row r="1" spans="1:4" x14ac:dyDescent="0.25">
      <c r="A1" s="8" t="s">
        <v>84</v>
      </c>
      <c r="B1" s="8" t="s">
        <v>85</v>
      </c>
      <c r="D1" t="s">
        <v>119</v>
      </c>
    </row>
    <row r="2" spans="1:4" x14ac:dyDescent="0.25">
      <c r="A2" s="10" t="s">
        <v>86</v>
      </c>
      <c r="B2" s="10" t="s">
        <v>87</v>
      </c>
      <c r="D2">
        <f>COUNTA(Table1[Ride_ID])</f>
        <v>50</v>
      </c>
    </row>
    <row r="3" spans="1:4" x14ac:dyDescent="0.25">
      <c r="A3" s="10" t="s">
        <v>88</v>
      </c>
      <c r="B3" s="10" t="s">
        <v>89</v>
      </c>
      <c r="D3">
        <f>COUNTIF(DASHBOARD!N:N,DASHBOARD!N2)</f>
        <v>47</v>
      </c>
    </row>
    <row r="4" spans="1:4" x14ac:dyDescent="0.25">
      <c r="A4" s="10" t="s">
        <v>90</v>
      </c>
      <c r="B4" s="10" t="s">
        <v>91</v>
      </c>
      <c r="D4">
        <f>SUM(DASHBOARD!I:I)</f>
        <v>18042</v>
      </c>
    </row>
    <row r="5" spans="1:4" x14ac:dyDescent="0.25">
      <c r="A5" s="10" t="s">
        <v>92</v>
      </c>
      <c r="B5" s="10" t="s">
        <v>93</v>
      </c>
      <c r="D5">
        <f>AVERAGE(DASHBOARD!I:I)</f>
        <v>360.84</v>
      </c>
    </row>
    <row r="6" spans="1:4" x14ac:dyDescent="0.25">
      <c r="A6" s="10" t="s">
        <v>94</v>
      </c>
      <c r="B6" s="10" t="s">
        <v>95</v>
      </c>
      <c r="D6">
        <f>AVERAGE(DASHBOARD!L:L)</f>
        <v>4.5640000000000001</v>
      </c>
    </row>
    <row r="9" spans="1:4" x14ac:dyDescent="0.25">
      <c r="A9" s="8" t="s">
        <v>96</v>
      </c>
      <c r="B9" s="8" t="s">
        <v>97</v>
      </c>
    </row>
    <row r="10" spans="1:4" x14ac:dyDescent="0.25">
      <c r="A10" s="9" t="s">
        <v>98</v>
      </c>
      <c r="B10" s="10" t="s">
        <v>99</v>
      </c>
    </row>
    <row r="11" spans="1:4" x14ac:dyDescent="0.25">
      <c r="A11" s="9" t="s">
        <v>100</v>
      </c>
      <c r="B11" s="10" t="s">
        <v>101</v>
      </c>
    </row>
    <row r="12" spans="1:4" x14ac:dyDescent="0.25">
      <c r="A12" s="9" t="s">
        <v>102</v>
      </c>
      <c r="B12" s="10" t="s">
        <v>103</v>
      </c>
    </row>
    <row r="13" spans="1:4" x14ac:dyDescent="0.25">
      <c r="A13" s="9" t="s">
        <v>104</v>
      </c>
      <c r="B13" s="10" t="s">
        <v>105</v>
      </c>
    </row>
    <row r="14" spans="1:4" x14ac:dyDescent="0.25">
      <c r="A14" s="9" t="s">
        <v>106</v>
      </c>
      <c r="B14" s="10" t="s">
        <v>107</v>
      </c>
    </row>
    <row r="15" spans="1:4" x14ac:dyDescent="0.25">
      <c r="A15" s="9" t="s">
        <v>108</v>
      </c>
      <c r="B15" s="10" t="s">
        <v>109</v>
      </c>
    </row>
    <row r="16" spans="1:4" x14ac:dyDescent="0.25">
      <c r="A16" s="9" t="s">
        <v>110</v>
      </c>
      <c r="B16" s="10" t="s">
        <v>111</v>
      </c>
    </row>
    <row r="17" spans="1:2" x14ac:dyDescent="0.25">
      <c r="A17" s="9" t="s">
        <v>112</v>
      </c>
      <c r="B17" s="10" t="s">
        <v>113</v>
      </c>
    </row>
    <row r="19" spans="1:2" ht="18" x14ac:dyDescent="0.25">
      <c r="A19" s="6" t="s">
        <v>114</v>
      </c>
    </row>
    <row r="20" spans="1:2" x14ac:dyDescent="0.25">
      <c r="A20" s="7"/>
    </row>
    <row r="21" spans="1:2" x14ac:dyDescent="0.25">
      <c r="A21" s="7" t="s">
        <v>1</v>
      </c>
    </row>
    <row r="22" spans="1:2" x14ac:dyDescent="0.25">
      <c r="A22" s="7" t="s">
        <v>2</v>
      </c>
    </row>
    <row r="23" spans="1:2" x14ac:dyDescent="0.25">
      <c r="A23" s="7" t="s">
        <v>115</v>
      </c>
    </row>
    <row r="24" spans="1:2" x14ac:dyDescent="0.25">
      <c r="A24" s="7" t="s">
        <v>116</v>
      </c>
    </row>
    <row r="25" spans="1:2" x14ac:dyDescent="0.25">
      <c r="A25" s="7" t="s">
        <v>117</v>
      </c>
    </row>
    <row r="26" spans="1:2" x14ac:dyDescent="0.25">
      <c r="A26" s="7" t="s">
        <v>118</v>
      </c>
    </row>
    <row r="27" spans="1:2" x14ac:dyDescent="0.25">
      <c r="A27" s="7" t="s">
        <v>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BC3A-48E9-42C3-8D56-EB6324E368D4}">
  <dimension ref="A1:W11"/>
  <sheetViews>
    <sheetView topLeftCell="M11" workbookViewId="0">
      <selection activeCell="D9" sqref="D9"/>
    </sheetView>
  </sheetViews>
  <sheetFormatPr defaultRowHeight="15" x14ac:dyDescent="0.25"/>
  <cols>
    <col min="1" max="1" width="13.42578125" bestFit="1" customWidth="1"/>
    <col min="2" max="2" width="15.85546875" bestFit="1" customWidth="1"/>
    <col min="4" max="4" width="13.42578125" bestFit="1" customWidth="1"/>
    <col min="5" max="5" width="16.42578125" bestFit="1" customWidth="1"/>
    <col min="7" max="7" width="13.42578125" bestFit="1" customWidth="1"/>
    <col min="8" max="8" width="15.85546875" bestFit="1" customWidth="1"/>
    <col min="10" max="10" width="13.42578125" bestFit="1" customWidth="1"/>
    <col min="11" max="11" width="16.42578125" bestFit="1" customWidth="1"/>
    <col min="13" max="13" width="13.42578125" bestFit="1" customWidth="1"/>
    <col min="14" max="14" width="15.85546875" bestFit="1" customWidth="1"/>
    <col min="16" max="16" width="13.42578125" bestFit="1" customWidth="1"/>
    <col min="17" max="17" width="16.42578125" bestFit="1" customWidth="1"/>
    <col min="19" max="19" width="13.42578125" bestFit="1" customWidth="1"/>
    <col min="20" max="20" width="23.7109375" bestFit="1" customWidth="1"/>
    <col min="22" max="22" width="13.42578125" bestFit="1" customWidth="1"/>
    <col min="23" max="23" width="16.42578125" bestFit="1" customWidth="1"/>
  </cols>
  <sheetData>
    <row r="1" spans="1:23" x14ac:dyDescent="0.25">
      <c r="A1" s="11" t="s">
        <v>120</v>
      </c>
      <c r="B1" t="s">
        <v>91</v>
      </c>
      <c r="D1" s="11" t="s">
        <v>120</v>
      </c>
      <c r="E1" t="s">
        <v>87</v>
      </c>
      <c r="G1" s="11" t="s">
        <v>120</v>
      </c>
      <c r="H1" t="s">
        <v>91</v>
      </c>
      <c r="J1" s="11" t="s">
        <v>120</v>
      </c>
      <c r="K1" t="s">
        <v>87</v>
      </c>
      <c r="M1" s="11" t="s">
        <v>120</v>
      </c>
      <c r="N1" t="s">
        <v>91</v>
      </c>
      <c r="P1" s="11" t="s">
        <v>120</v>
      </c>
      <c r="Q1" t="s">
        <v>87</v>
      </c>
      <c r="S1" s="11" t="s">
        <v>120</v>
      </c>
      <c r="T1" t="s">
        <v>122</v>
      </c>
      <c r="V1" s="11" t="s">
        <v>120</v>
      </c>
      <c r="W1" t="s">
        <v>87</v>
      </c>
    </row>
    <row r="2" spans="1:23" x14ac:dyDescent="0.25">
      <c r="A2" s="12" t="s">
        <v>15</v>
      </c>
      <c r="B2" s="14">
        <v>2425</v>
      </c>
      <c r="D2" s="12" t="s">
        <v>38</v>
      </c>
      <c r="E2" s="14">
        <v>9</v>
      </c>
      <c r="G2" s="13">
        <v>46235</v>
      </c>
      <c r="H2" s="14">
        <v>1950</v>
      </c>
      <c r="J2" s="12" t="s">
        <v>23</v>
      </c>
      <c r="K2">
        <v>17</v>
      </c>
      <c r="M2" s="12" t="s">
        <v>27</v>
      </c>
      <c r="N2">
        <v>8400</v>
      </c>
      <c r="P2" s="12" t="s">
        <v>22</v>
      </c>
      <c r="Q2">
        <v>13</v>
      </c>
      <c r="S2" s="12" t="s">
        <v>38</v>
      </c>
      <c r="T2">
        <v>38.5</v>
      </c>
      <c r="V2" s="12" t="s">
        <v>50</v>
      </c>
      <c r="W2">
        <v>3</v>
      </c>
    </row>
    <row r="3" spans="1:23" x14ac:dyDescent="0.25">
      <c r="A3" s="12" t="s">
        <v>32</v>
      </c>
      <c r="B3" s="14">
        <v>2980</v>
      </c>
      <c r="D3" s="12" t="s">
        <v>33</v>
      </c>
      <c r="E3" s="14">
        <v>8</v>
      </c>
      <c r="G3" s="13">
        <v>46236</v>
      </c>
      <c r="H3" s="14">
        <v>2040</v>
      </c>
      <c r="J3" s="12" t="s">
        <v>30</v>
      </c>
      <c r="K3">
        <v>10</v>
      </c>
      <c r="M3" s="12" t="s">
        <v>2</v>
      </c>
      <c r="N3">
        <v>9642</v>
      </c>
      <c r="P3" s="12" t="s">
        <v>34</v>
      </c>
      <c r="Q3">
        <v>11</v>
      </c>
      <c r="S3" s="12" t="s">
        <v>33</v>
      </c>
      <c r="T3">
        <v>38.799999999999997</v>
      </c>
      <c r="V3" s="12" t="s">
        <v>19</v>
      </c>
      <c r="W3">
        <v>47</v>
      </c>
    </row>
    <row r="4" spans="1:23" x14ac:dyDescent="0.25">
      <c r="A4" s="12" t="s">
        <v>25</v>
      </c>
      <c r="B4" s="14">
        <v>2895</v>
      </c>
      <c r="D4" s="12" t="s">
        <v>16</v>
      </c>
      <c r="E4" s="14">
        <v>25</v>
      </c>
      <c r="G4" s="13">
        <v>46237</v>
      </c>
      <c r="H4" s="14">
        <v>2215</v>
      </c>
      <c r="J4" s="12" t="s">
        <v>18</v>
      </c>
      <c r="K4">
        <v>23</v>
      </c>
      <c r="M4" s="12" t="s">
        <v>121</v>
      </c>
      <c r="N4">
        <v>18042</v>
      </c>
      <c r="P4" s="12" t="s">
        <v>17</v>
      </c>
      <c r="Q4">
        <v>26</v>
      </c>
      <c r="S4" s="12" t="s">
        <v>16</v>
      </c>
      <c r="T4">
        <v>112.89999999999999</v>
      </c>
      <c r="V4" s="12" t="s">
        <v>121</v>
      </c>
      <c r="W4">
        <v>50</v>
      </c>
    </row>
    <row r="5" spans="1:23" x14ac:dyDescent="0.25">
      <c r="A5" s="12" t="s">
        <v>29</v>
      </c>
      <c r="B5" s="14">
        <v>2122</v>
      </c>
      <c r="D5" s="12" t="s">
        <v>26</v>
      </c>
      <c r="E5" s="14">
        <v>8</v>
      </c>
      <c r="G5" s="13">
        <v>46238</v>
      </c>
      <c r="H5" s="14">
        <v>2385</v>
      </c>
      <c r="J5" s="12" t="s">
        <v>121</v>
      </c>
      <c r="K5">
        <v>50</v>
      </c>
      <c r="P5" s="12" t="s">
        <v>121</v>
      </c>
      <c r="Q5">
        <v>50</v>
      </c>
      <c r="S5" s="12" t="s">
        <v>26</v>
      </c>
      <c r="T5">
        <v>38</v>
      </c>
    </row>
    <row r="6" spans="1:23" x14ac:dyDescent="0.25">
      <c r="A6" s="12" t="s">
        <v>42</v>
      </c>
      <c r="B6" s="14">
        <v>1865</v>
      </c>
      <c r="D6" s="12" t="s">
        <v>121</v>
      </c>
      <c r="E6" s="14">
        <v>50</v>
      </c>
      <c r="G6" s="13">
        <v>46239</v>
      </c>
      <c r="H6" s="14">
        <v>1570</v>
      </c>
      <c r="S6" s="12" t="s">
        <v>121</v>
      </c>
      <c r="T6">
        <v>228.2</v>
      </c>
    </row>
    <row r="7" spans="1:23" x14ac:dyDescent="0.25">
      <c r="A7" s="12" t="s">
        <v>21</v>
      </c>
      <c r="B7" s="14">
        <v>3525</v>
      </c>
      <c r="G7" s="13">
        <v>46240</v>
      </c>
      <c r="H7" s="14">
        <v>1965</v>
      </c>
    </row>
    <row r="8" spans="1:23" x14ac:dyDescent="0.25">
      <c r="A8" s="12" t="s">
        <v>36</v>
      </c>
      <c r="B8" s="14">
        <v>2230</v>
      </c>
      <c r="G8" s="13">
        <v>46241</v>
      </c>
      <c r="H8" s="14">
        <v>2505</v>
      </c>
    </row>
    <row r="9" spans="1:23" x14ac:dyDescent="0.25">
      <c r="A9" s="12" t="s">
        <v>121</v>
      </c>
      <c r="B9" s="14">
        <v>18042</v>
      </c>
      <c r="G9" s="13">
        <v>46242</v>
      </c>
      <c r="H9" s="14">
        <v>2167</v>
      </c>
    </row>
    <row r="10" spans="1:23" x14ac:dyDescent="0.25">
      <c r="G10" s="13">
        <v>46243</v>
      </c>
      <c r="H10" s="14">
        <v>1245</v>
      </c>
    </row>
    <row r="11" spans="1:23" x14ac:dyDescent="0.25">
      <c r="G11" s="13" t="s">
        <v>121</v>
      </c>
      <c r="H11" s="14">
        <v>18042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15166-9F84-43AE-B089-19F13DD6B565}">
  <dimension ref="A1"/>
  <sheetViews>
    <sheetView showGridLines="0" zoomScale="93" zoomScaleNormal="93" workbookViewId="0">
      <selection activeCell="C1" sqref="C1:C104857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CONTENTS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edakuni</dc:creator>
  <cp:lastModifiedBy>user</cp:lastModifiedBy>
  <dcterms:created xsi:type="dcterms:W3CDTF">2026-08-10T04:14:19Z</dcterms:created>
  <dcterms:modified xsi:type="dcterms:W3CDTF">2026-08-13T04:35:16Z</dcterms:modified>
</cp:coreProperties>
</file>